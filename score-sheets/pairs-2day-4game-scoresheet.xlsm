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810" yWindow="-330" windowWidth="10350" windowHeight="9045" tabRatio="576"/>
  </bookViews>
  <sheets>
    <sheet name="Sh1(bw) " sheetId="10" r:id="rId1"/>
    <sheet name="Flights Sheet" sheetId="47" r:id="rId2"/>
    <sheet name="Instructions" sheetId="49" r:id="rId3"/>
  </sheets>
  <definedNames>
    <definedName name="_xlnm.Print_Area" localSheetId="1">'Flights Sheet'!$B$3:$G$160</definedName>
    <definedName name="_xlnm.Print_Area" localSheetId="2">Instructions!$A$1:$M$87</definedName>
    <definedName name="_xlnm.Print_Area" localSheetId="0">'Sh1(bw) '!$B$4:$Y$74</definedName>
  </definedNames>
  <calcPr calcId="125725"/>
</workbook>
</file>

<file path=xl/calcChain.xml><?xml version="1.0" encoding="utf-8"?>
<calcChain xmlns="http://schemas.openxmlformats.org/spreadsheetml/2006/main">
  <c r="B155" i="47"/>
  <c r="B151"/>
  <c r="B150"/>
  <c r="B146"/>
  <c r="B145"/>
  <c r="B141"/>
  <c r="B140"/>
  <c r="B136"/>
  <c r="B133"/>
  <c r="B129"/>
  <c r="B128"/>
  <c r="B124"/>
  <c r="B123"/>
  <c r="B119"/>
  <c r="B118"/>
  <c r="B114"/>
  <c r="B96"/>
  <c r="B105"/>
  <c r="B101"/>
  <c r="B100"/>
  <c r="B95"/>
  <c r="B91"/>
  <c r="B77"/>
  <c r="B68"/>
  <c r="B67"/>
  <c r="B63"/>
  <c r="B90"/>
  <c r="B86"/>
  <c r="B73"/>
  <c r="B72"/>
  <c r="B62"/>
  <c r="B58"/>
  <c r="B49"/>
  <c r="B45"/>
  <c r="B44"/>
  <c r="B40"/>
  <c r="B39"/>
  <c r="B35"/>
  <c r="B34"/>
  <c r="B30"/>
  <c r="B21"/>
  <c r="B17"/>
  <c r="B16"/>
  <c r="B12"/>
  <c r="B11"/>
  <c r="B8"/>
  <c r="B6"/>
  <c r="B3"/>
  <c r="S75" i="10"/>
  <c r="O75"/>
  <c r="K75"/>
  <c r="G75"/>
  <c r="S47"/>
  <c r="S72"/>
  <c r="S69"/>
  <c r="S71"/>
  <c r="S22"/>
  <c r="S45"/>
  <c r="S51"/>
  <c r="S66"/>
  <c r="S58"/>
  <c r="S63"/>
  <c r="S74"/>
  <c r="S60"/>
  <c r="S59"/>
  <c r="S44"/>
  <c r="S56"/>
  <c r="S33"/>
  <c r="S73"/>
  <c r="S36"/>
  <c r="S25"/>
  <c r="S27"/>
  <c r="S15"/>
  <c r="S14"/>
  <c r="S29"/>
  <c r="S30"/>
  <c r="S50"/>
  <c r="S68"/>
  <c r="S65"/>
  <c r="S41"/>
  <c r="S37"/>
  <c r="S39"/>
  <c r="S40"/>
  <c r="S48"/>
  <c r="S19"/>
  <c r="S52"/>
  <c r="S34"/>
  <c r="S43"/>
  <c r="S54"/>
  <c r="S61"/>
  <c r="S13"/>
  <c r="S53"/>
  <c r="S38"/>
  <c r="S18"/>
  <c r="S70"/>
  <c r="S57"/>
  <c r="S55"/>
  <c r="S20"/>
  <c r="S35"/>
  <c r="S24"/>
  <c r="S42"/>
  <c r="S17"/>
  <c r="S62"/>
  <c r="S67"/>
  <c r="S16"/>
  <c r="S28"/>
  <c r="S21"/>
  <c r="S31"/>
  <c r="S26"/>
  <c r="S46"/>
  <c r="S32"/>
  <c r="S64"/>
  <c r="S23"/>
  <c r="S11"/>
  <c r="S12"/>
  <c r="S49"/>
  <c r="O47"/>
  <c r="O72"/>
  <c r="O69"/>
  <c r="O71"/>
  <c r="O22"/>
  <c r="O45"/>
  <c r="O51"/>
  <c r="O66"/>
  <c r="O58"/>
  <c r="O63"/>
  <c r="O74"/>
  <c r="O60"/>
  <c r="O59"/>
  <c r="O44"/>
  <c r="O56"/>
  <c r="O33"/>
  <c r="O73"/>
  <c r="O36"/>
  <c r="O25"/>
  <c r="O27"/>
  <c r="O15"/>
  <c r="O14"/>
  <c r="O29"/>
  <c r="O30"/>
  <c r="O50"/>
  <c r="O68"/>
  <c r="O65"/>
  <c r="O41"/>
  <c r="O37"/>
  <c r="O39"/>
  <c r="O40"/>
  <c r="O48"/>
  <c r="O19"/>
  <c r="O52"/>
  <c r="O34"/>
  <c r="O43"/>
  <c r="O54"/>
  <c r="O61"/>
  <c r="O13"/>
  <c r="O53"/>
  <c r="O38"/>
  <c r="O18"/>
  <c r="O70"/>
  <c r="O57"/>
  <c r="O55"/>
  <c r="O20"/>
  <c r="O35"/>
  <c r="O24"/>
  <c r="O42"/>
  <c r="O17"/>
  <c r="O62"/>
  <c r="O67"/>
  <c r="O16"/>
  <c r="O28"/>
  <c r="O21"/>
  <c r="O31"/>
  <c r="O26"/>
  <c r="O46"/>
  <c r="O32"/>
  <c r="O64"/>
  <c r="O23"/>
  <c r="O11"/>
  <c r="O12"/>
  <c r="O49"/>
  <c r="K47"/>
  <c r="K72"/>
  <c r="K69"/>
  <c r="K71"/>
  <c r="K22"/>
  <c r="K45"/>
  <c r="K51"/>
  <c r="K66"/>
  <c r="K58"/>
  <c r="K63"/>
  <c r="K74"/>
  <c r="K60"/>
  <c r="K59"/>
  <c r="K44"/>
  <c r="K56"/>
  <c r="K33"/>
  <c r="K73"/>
  <c r="K36"/>
  <c r="K25"/>
  <c r="K27"/>
  <c r="K15"/>
  <c r="K14"/>
  <c r="K29"/>
  <c r="K30"/>
  <c r="K50"/>
  <c r="K68"/>
  <c r="K65"/>
  <c r="K41"/>
  <c r="K37"/>
  <c r="K39"/>
  <c r="K40"/>
  <c r="K48"/>
  <c r="K19"/>
  <c r="K52"/>
  <c r="K34"/>
  <c r="K43"/>
  <c r="K54"/>
  <c r="K61"/>
  <c r="K13"/>
  <c r="K53"/>
  <c r="K38"/>
  <c r="K18"/>
  <c r="K70"/>
  <c r="K57"/>
  <c r="K55"/>
  <c r="K20"/>
  <c r="K35"/>
  <c r="K24"/>
  <c r="K42"/>
  <c r="K17"/>
  <c r="K62"/>
  <c r="K67"/>
  <c r="K16"/>
  <c r="K28"/>
  <c r="K21"/>
  <c r="K31"/>
  <c r="K26"/>
  <c r="K46"/>
  <c r="K32"/>
  <c r="K64"/>
  <c r="K23"/>
  <c r="K11"/>
  <c r="K12"/>
  <c r="K49"/>
  <c r="G47"/>
  <c r="G72"/>
  <c r="G69"/>
  <c r="G71"/>
  <c r="G17"/>
  <c r="G22"/>
  <c r="G45"/>
  <c r="G51"/>
  <c r="G11"/>
  <c r="G66"/>
  <c r="G62"/>
  <c r="G58"/>
  <c r="G63"/>
  <c r="G74"/>
  <c r="G60"/>
  <c r="G43"/>
  <c r="G59"/>
  <c r="G44"/>
  <c r="G56"/>
  <c r="G38"/>
  <c r="G33"/>
  <c r="G73"/>
  <c r="G36"/>
  <c r="G25"/>
  <c r="G27"/>
  <c r="G15"/>
  <c r="G14"/>
  <c r="G29"/>
  <c r="G30"/>
  <c r="G50"/>
  <c r="G68"/>
  <c r="G65"/>
  <c r="G41"/>
  <c r="G37"/>
  <c r="G39"/>
  <c r="G40"/>
  <c r="G48"/>
  <c r="G19"/>
  <c r="G52"/>
  <c r="G34"/>
  <c r="G54"/>
  <c r="G61"/>
  <c r="G13"/>
  <c r="G53"/>
  <c r="G18"/>
  <c r="G70"/>
  <c r="G57"/>
  <c r="G55"/>
  <c r="G20"/>
  <c r="G35"/>
  <c r="G24"/>
  <c r="G42"/>
  <c r="G67"/>
  <c r="G16"/>
  <c r="G28"/>
  <c r="G21"/>
  <c r="G31"/>
  <c r="G26"/>
  <c r="G46"/>
  <c r="G32"/>
  <c r="G64"/>
  <c r="G23"/>
  <c r="G49"/>
  <c r="G12"/>
  <c r="Q81"/>
  <c r="M81"/>
  <c r="I81"/>
  <c r="E81"/>
  <c r="P80"/>
  <c r="L80"/>
  <c r="H80"/>
  <c r="D80"/>
  <c r="AL79"/>
  <c r="AH79"/>
  <c r="AN74"/>
  <c r="AM74"/>
  <c r="AJ74"/>
  <c r="AI74"/>
  <c r="AF74"/>
  <c r="AE74"/>
  <c r="AB74"/>
  <c r="AA74"/>
  <c r="U74"/>
  <c r="T74"/>
  <c r="R51"/>
  <c r="N51"/>
  <c r="J51"/>
  <c r="F51"/>
  <c r="AN73"/>
  <c r="AM73"/>
  <c r="AJ73"/>
  <c r="AI73"/>
  <c r="AF73"/>
  <c r="AE73"/>
  <c r="AB73"/>
  <c r="AA73"/>
  <c r="U24"/>
  <c r="T24"/>
  <c r="R72"/>
  <c r="N72"/>
  <c r="J72"/>
  <c r="F72"/>
  <c r="AN72"/>
  <c r="AM72"/>
  <c r="AJ72"/>
  <c r="AI72"/>
  <c r="AF72"/>
  <c r="AE72"/>
  <c r="AB72"/>
  <c r="AA72"/>
  <c r="U52"/>
  <c r="T52"/>
  <c r="R50"/>
  <c r="N50"/>
  <c r="J50"/>
  <c r="F50"/>
  <c r="AN71"/>
  <c r="AM71"/>
  <c r="AJ71"/>
  <c r="AI71"/>
  <c r="AF71"/>
  <c r="AE71"/>
  <c r="AB71"/>
  <c r="AA71"/>
  <c r="U44"/>
  <c r="T44"/>
  <c r="R46"/>
  <c r="N46"/>
  <c r="J46"/>
  <c r="F46"/>
  <c r="AN70"/>
  <c r="AM70"/>
  <c r="AJ70"/>
  <c r="AI70"/>
  <c r="AF70"/>
  <c r="AE70"/>
  <c r="AB70"/>
  <c r="AA70"/>
  <c r="U33"/>
  <c r="T33"/>
  <c r="R47"/>
  <c r="N47"/>
  <c r="J47"/>
  <c r="F47"/>
  <c r="AN69"/>
  <c r="AM69"/>
  <c r="AJ69"/>
  <c r="AI69"/>
  <c r="AF69"/>
  <c r="AE69"/>
  <c r="AB69"/>
  <c r="AA69"/>
  <c r="U72"/>
  <c r="T72"/>
  <c r="R24"/>
  <c r="N24"/>
  <c r="J24"/>
  <c r="F24"/>
  <c r="AN68"/>
  <c r="AM68"/>
  <c r="AJ68"/>
  <c r="AI68"/>
  <c r="AF68"/>
  <c r="AE68"/>
  <c r="AB68"/>
  <c r="AA68"/>
  <c r="U39"/>
  <c r="T39"/>
  <c r="R11"/>
  <c r="N11"/>
  <c r="J11"/>
  <c r="F11"/>
  <c r="AN67"/>
  <c r="AM67"/>
  <c r="AJ67"/>
  <c r="AI67"/>
  <c r="AF67"/>
  <c r="AE67"/>
  <c r="AB67"/>
  <c r="AA67"/>
  <c r="U32"/>
  <c r="T32"/>
  <c r="R36"/>
  <c r="N36"/>
  <c r="J36"/>
  <c r="F36"/>
  <c r="AN66"/>
  <c r="AM66"/>
  <c r="AJ66"/>
  <c r="AI66"/>
  <c r="AF66"/>
  <c r="AE66"/>
  <c r="AB66"/>
  <c r="AA66"/>
  <c r="U28"/>
  <c r="T28"/>
  <c r="R25"/>
  <c r="N25"/>
  <c r="J25"/>
  <c r="F25"/>
  <c r="AN65"/>
  <c r="AM65"/>
  <c r="AJ65"/>
  <c r="AI65"/>
  <c r="AF65"/>
  <c r="AE65"/>
  <c r="AB65"/>
  <c r="AA65"/>
  <c r="U68"/>
  <c r="T68"/>
  <c r="R45"/>
  <c r="N45"/>
  <c r="J45"/>
  <c r="F45"/>
  <c r="AN64"/>
  <c r="AM64"/>
  <c r="AJ64"/>
  <c r="AI64"/>
  <c r="AF64"/>
  <c r="AE64"/>
  <c r="AB64"/>
  <c r="AA64"/>
  <c r="U27"/>
  <c r="T27"/>
  <c r="R17"/>
  <c r="N17"/>
  <c r="J17"/>
  <c r="F17"/>
  <c r="AN63"/>
  <c r="AM63"/>
  <c r="AJ63"/>
  <c r="AI63"/>
  <c r="AF63"/>
  <c r="AE63"/>
  <c r="AB63"/>
  <c r="AA63"/>
  <c r="U11"/>
  <c r="T11"/>
  <c r="R66"/>
  <c r="N66"/>
  <c r="J66"/>
  <c r="F66"/>
  <c r="AN62"/>
  <c r="AM62"/>
  <c r="AJ62"/>
  <c r="AI62"/>
  <c r="AF62"/>
  <c r="AE62"/>
  <c r="AB62"/>
  <c r="AA62"/>
  <c r="U14"/>
  <c r="T14"/>
  <c r="R12"/>
  <c r="N12"/>
  <c r="J12"/>
  <c r="F12"/>
  <c r="AN61"/>
  <c r="AM61"/>
  <c r="AJ61"/>
  <c r="AI61"/>
  <c r="AF61"/>
  <c r="AE61"/>
  <c r="AB61"/>
  <c r="AA61"/>
  <c r="U53"/>
  <c r="T53"/>
  <c r="R70"/>
  <c r="N70"/>
  <c r="J70"/>
  <c r="F70"/>
  <c r="AN60"/>
  <c r="AM60"/>
  <c r="AJ60"/>
  <c r="AI60"/>
  <c r="AF60"/>
  <c r="AE60"/>
  <c r="AB60"/>
  <c r="AA60"/>
  <c r="U37"/>
  <c r="T37"/>
  <c r="R73"/>
  <c r="N73"/>
  <c r="J73"/>
  <c r="F73"/>
  <c r="AN59"/>
  <c r="AM59"/>
  <c r="AJ59"/>
  <c r="AI59"/>
  <c r="AF59"/>
  <c r="AE59"/>
  <c r="AB59"/>
  <c r="AA59"/>
  <c r="U30"/>
  <c r="T30"/>
  <c r="R74"/>
  <c r="N74"/>
  <c r="J74"/>
  <c r="F74"/>
  <c r="AN58"/>
  <c r="AM58"/>
  <c r="AJ58"/>
  <c r="AI58"/>
  <c r="AF58"/>
  <c r="AE58"/>
  <c r="AB58"/>
  <c r="AA58"/>
  <c r="U20"/>
  <c r="T20"/>
  <c r="R41"/>
  <c r="N41"/>
  <c r="J41"/>
  <c r="F41"/>
  <c r="AN57"/>
  <c r="AM57"/>
  <c r="AJ57"/>
  <c r="AI57"/>
  <c r="AF57"/>
  <c r="AE57"/>
  <c r="AB57"/>
  <c r="AA57"/>
  <c r="U16"/>
  <c r="T16"/>
  <c r="R28"/>
  <c r="N28"/>
  <c r="J28"/>
  <c r="F28"/>
  <c r="AN56"/>
  <c r="AM56"/>
  <c r="AJ56"/>
  <c r="AI56"/>
  <c r="AF56"/>
  <c r="AE56"/>
  <c r="AB56"/>
  <c r="AA56"/>
  <c r="U63"/>
  <c r="T63"/>
  <c r="R27"/>
  <c r="N27"/>
  <c r="J27"/>
  <c r="F27"/>
  <c r="AN55"/>
  <c r="AM55"/>
  <c r="AJ55"/>
  <c r="AI55"/>
  <c r="AF55"/>
  <c r="AE55"/>
  <c r="AB55"/>
  <c r="AA55"/>
  <c r="U73"/>
  <c r="T73"/>
  <c r="R22"/>
  <c r="N22"/>
  <c r="J22"/>
  <c r="F22"/>
  <c r="AN54"/>
  <c r="AM54"/>
  <c r="AJ54"/>
  <c r="AI54"/>
  <c r="AF54"/>
  <c r="AE54"/>
  <c r="AB54"/>
  <c r="AA54"/>
  <c r="U49"/>
  <c r="T49"/>
  <c r="R62"/>
  <c r="N62"/>
  <c r="J62"/>
  <c r="F62"/>
  <c r="AN53"/>
  <c r="AM53"/>
  <c r="AJ53"/>
  <c r="AI53"/>
  <c r="AF53"/>
  <c r="AE53"/>
  <c r="AB53"/>
  <c r="AA53"/>
  <c r="U26"/>
  <c r="T26"/>
  <c r="R33"/>
  <c r="N33"/>
  <c r="J33"/>
  <c r="F33"/>
  <c r="AN52"/>
  <c r="AM52"/>
  <c r="AJ52"/>
  <c r="AI52"/>
  <c r="AF52"/>
  <c r="AE52"/>
  <c r="AB52"/>
  <c r="AA52"/>
  <c r="U69"/>
  <c r="T69"/>
  <c r="R69"/>
  <c r="N69"/>
  <c r="J69"/>
  <c r="F69"/>
  <c r="AN51"/>
  <c r="AM51"/>
  <c r="AJ51"/>
  <c r="AI51"/>
  <c r="AF51"/>
  <c r="AE51"/>
  <c r="AB51"/>
  <c r="AA51"/>
  <c r="U61"/>
  <c r="T61"/>
  <c r="R23"/>
  <c r="N23"/>
  <c r="J23"/>
  <c r="F23"/>
  <c r="AN50"/>
  <c r="AM50"/>
  <c r="AJ50"/>
  <c r="AI50"/>
  <c r="AF50"/>
  <c r="AE50"/>
  <c r="AB50"/>
  <c r="AA50"/>
  <c r="U18"/>
  <c r="T18"/>
  <c r="R55"/>
  <c r="N55"/>
  <c r="J55"/>
  <c r="F55"/>
  <c r="AN49"/>
  <c r="AM49"/>
  <c r="AJ49"/>
  <c r="AI49"/>
  <c r="AF49"/>
  <c r="AE49"/>
  <c r="AB49"/>
  <c r="AA49"/>
  <c r="U19"/>
  <c r="T19"/>
  <c r="R20"/>
  <c r="N20"/>
  <c r="J20"/>
  <c r="F20"/>
  <c r="AN48"/>
  <c r="AM48"/>
  <c r="AJ48"/>
  <c r="AI48"/>
  <c r="AF48"/>
  <c r="AE48"/>
  <c r="AB48"/>
  <c r="AA48"/>
  <c r="U65"/>
  <c r="T65"/>
  <c r="R44"/>
  <c r="N44"/>
  <c r="J44"/>
  <c r="F44"/>
  <c r="AN47"/>
  <c r="AM47"/>
  <c r="AJ47"/>
  <c r="AI47"/>
  <c r="AF47"/>
  <c r="AE47"/>
  <c r="AB47"/>
  <c r="AA47"/>
  <c r="U56"/>
  <c r="T56"/>
  <c r="R68"/>
  <c r="N68"/>
  <c r="J68"/>
  <c r="F68"/>
  <c r="AN46"/>
  <c r="AM46"/>
  <c r="AJ46"/>
  <c r="AI46"/>
  <c r="AF46"/>
  <c r="AE46"/>
  <c r="AB46"/>
  <c r="AA46"/>
  <c r="U31"/>
  <c r="T31"/>
  <c r="R61"/>
  <c r="N61"/>
  <c r="J61"/>
  <c r="F61"/>
  <c r="AN45"/>
  <c r="AM45"/>
  <c r="AJ45"/>
  <c r="AI45"/>
  <c r="AF45"/>
  <c r="AE45"/>
  <c r="AB45"/>
  <c r="AA45"/>
  <c r="U71"/>
  <c r="T71"/>
  <c r="R16"/>
  <c r="N16"/>
  <c r="J16"/>
  <c r="F16"/>
  <c r="AN44"/>
  <c r="AM44"/>
  <c r="AJ44"/>
  <c r="AI44"/>
  <c r="AF44"/>
  <c r="AE44"/>
  <c r="AB44"/>
  <c r="AA44"/>
  <c r="U45"/>
  <c r="T45"/>
  <c r="R31"/>
  <c r="N31"/>
  <c r="J31"/>
  <c r="F31"/>
  <c r="AN43"/>
  <c r="AM43"/>
  <c r="AJ43"/>
  <c r="AI43"/>
  <c r="AF43"/>
  <c r="AE43"/>
  <c r="AB43"/>
  <c r="AA43"/>
  <c r="U29"/>
  <c r="T29"/>
  <c r="R48"/>
  <c r="N48"/>
  <c r="J48"/>
  <c r="F48"/>
  <c r="AN42"/>
  <c r="AM42"/>
  <c r="AJ42"/>
  <c r="AI42"/>
  <c r="AF42"/>
  <c r="AE42"/>
  <c r="AB42"/>
  <c r="AA42"/>
  <c r="U64"/>
  <c r="T64"/>
  <c r="R53"/>
  <c r="N53"/>
  <c r="J53"/>
  <c r="F53"/>
  <c r="AN41"/>
  <c r="AM41"/>
  <c r="AJ41"/>
  <c r="AI41"/>
  <c r="AF41"/>
  <c r="AE41"/>
  <c r="AB41"/>
  <c r="AA41"/>
  <c r="U58"/>
  <c r="T58"/>
  <c r="R37"/>
  <c r="N37"/>
  <c r="J37"/>
  <c r="F37"/>
  <c r="AN40"/>
  <c r="AM40"/>
  <c r="AJ40"/>
  <c r="AI40"/>
  <c r="AF40"/>
  <c r="AE40"/>
  <c r="AB40"/>
  <c r="AA40"/>
  <c r="U42"/>
  <c r="T42"/>
  <c r="R43"/>
  <c r="N43"/>
  <c r="J43"/>
  <c r="F43"/>
  <c r="AN39"/>
  <c r="AM39"/>
  <c r="AJ39"/>
  <c r="AI39"/>
  <c r="AF39"/>
  <c r="AE39"/>
  <c r="AB39"/>
  <c r="AA39"/>
  <c r="U67"/>
  <c r="T67"/>
  <c r="R35"/>
  <c r="N35"/>
  <c r="J35"/>
  <c r="F35"/>
  <c r="AN38"/>
  <c r="AM38"/>
  <c r="AJ38"/>
  <c r="AI38"/>
  <c r="AF38"/>
  <c r="AE38"/>
  <c r="AB38"/>
  <c r="AA38"/>
  <c r="U22"/>
  <c r="T22"/>
  <c r="R42"/>
  <c r="N42"/>
  <c r="J42"/>
  <c r="F42"/>
  <c r="AN37"/>
  <c r="AM37"/>
  <c r="AJ37"/>
  <c r="AI37"/>
  <c r="AF37"/>
  <c r="AE37"/>
  <c r="AB37"/>
  <c r="AA37"/>
  <c r="U35"/>
  <c r="T35"/>
  <c r="R14"/>
  <c r="N14"/>
  <c r="J14"/>
  <c r="F14"/>
  <c r="AN36"/>
  <c r="AM36"/>
  <c r="AJ36"/>
  <c r="AI36"/>
  <c r="AF36"/>
  <c r="AE36"/>
  <c r="AB36"/>
  <c r="AA36"/>
  <c r="U62"/>
  <c r="T62"/>
  <c r="R56"/>
  <c r="N56"/>
  <c r="J56"/>
  <c r="F56"/>
  <c r="AN35"/>
  <c r="AM35"/>
  <c r="AJ35"/>
  <c r="AI35"/>
  <c r="AF35"/>
  <c r="AE35"/>
  <c r="AB35"/>
  <c r="AA35"/>
  <c r="U66"/>
  <c r="T66"/>
  <c r="R19"/>
  <c r="N19"/>
  <c r="J19"/>
  <c r="F19"/>
  <c r="AN34"/>
  <c r="AM34"/>
  <c r="AJ34"/>
  <c r="AI34"/>
  <c r="AF34"/>
  <c r="AE34"/>
  <c r="AB34"/>
  <c r="AA34"/>
  <c r="U54"/>
  <c r="T54"/>
  <c r="T36"/>
  <c r="U36"/>
  <c r="R64"/>
  <c r="N64"/>
  <c r="J64"/>
  <c r="F64"/>
  <c r="AN33"/>
  <c r="AM33"/>
  <c r="AJ33"/>
  <c r="AI33"/>
  <c r="AF33"/>
  <c r="AE33"/>
  <c r="AB33"/>
  <c r="AA33"/>
  <c r="U23"/>
  <c r="T23"/>
  <c r="R58"/>
  <c r="N58"/>
  <c r="J58"/>
  <c r="F58"/>
  <c r="AN32"/>
  <c r="AM32"/>
  <c r="AJ32"/>
  <c r="AI32"/>
  <c r="AF32"/>
  <c r="AE32"/>
  <c r="AB32"/>
  <c r="AA32"/>
  <c r="U60"/>
  <c r="T60"/>
  <c r="R15"/>
  <c r="N15"/>
  <c r="J15"/>
  <c r="F15"/>
  <c r="AN31"/>
  <c r="AM31"/>
  <c r="AJ31"/>
  <c r="AI31"/>
  <c r="AF31"/>
  <c r="AE31"/>
  <c r="AB31"/>
  <c r="AA31"/>
  <c r="U38"/>
  <c r="T38"/>
  <c r="R40"/>
  <c r="N40"/>
  <c r="J40"/>
  <c r="F40"/>
  <c r="AN30"/>
  <c r="AM30"/>
  <c r="AJ30"/>
  <c r="AI30"/>
  <c r="AF30"/>
  <c r="AE30"/>
  <c r="AB30"/>
  <c r="AA30"/>
  <c r="U25"/>
  <c r="T25"/>
  <c r="R38"/>
  <c r="N38"/>
  <c r="J38"/>
  <c r="F38"/>
  <c r="AN29"/>
  <c r="AM29"/>
  <c r="AJ29"/>
  <c r="AI29"/>
  <c r="AF29"/>
  <c r="AE29"/>
  <c r="AB29"/>
  <c r="AA29"/>
  <c r="U51"/>
  <c r="T51"/>
  <c r="R26"/>
  <c r="N26"/>
  <c r="J26"/>
  <c r="F26"/>
  <c r="AN28"/>
  <c r="AM28"/>
  <c r="AJ28"/>
  <c r="AI28"/>
  <c r="AF28"/>
  <c r="AE28"/>
  <c r="AB28"/>
  <c r="AA28"/>
  <c r="U40"/>
  <c r="T40"/>
  <c r="R71"/>
  <c r="N71"/>
  <c r="J71"/>
  <c r="F71"/>
  <c r="AN27"/>
  <c r="AM27"/>
  <c r="AJ27"/>
  <c r="AI27"/>
  <c r="AF27"/>
  <c r="AE27"/>
  <c r="AB27"/>
  <c r="AA27"/>
  <c r="U34"/>
  <c r="T34"/>
  <c r="R52"/>
  <c r="N52"/>
  <c r="J52"/>
  <c r="F52"/>
  <c r="AN26"/>
  <c r="AM26"/>
  <c r="AJ26"/>
  <c r="AI26"/>
  <c r="AF26"/>
  <c r="AE26"/>
  <c r="AB26"/>
  <c r="AA26"/>
  <c r="U55"/>
  <c r="T55"/>
  <c r="R65"/>
  <c r="N65"/>
  <c r="J65"/>
  <c r="F65"/>
  <c r="AN25"/>
  <c r="AM25"/>
  <c r="AJ25"/>
  <c r="AI25"/>
  <c r="AF25"/>
  <c r="AE25"/>
  <c r="AB25"/>
  <c r="AA25"/>
  <c r="U50"/>
  <c r="T50"/>
  <c r="R39"/>
  <c r="N39"/>
  <c r="J39"/>
  <c r="F39"/>
  <c r="AN24"/>
  <c r="AM24"/>
  <c r="AJ24"/>
  <c r="AI24"/>
  <c r="AF24"/>
  <c r="AE24"/>
  <c r="AB24"/>
  <c r="AA24"/>
  <c r="U48"/>
  <c r="T48"/>
  <c r="R54"/>
  <c r="N54"/>
  <c r="J54"/>
  <c r="F54"/>
  <c r="AN23"/>
  <c r="AM23"/>
  <c r="AJ23"/>
  <c r="AI23"/>
  <c r="AF23"/>
  <c r="AE23"/>
  <c r="AB23"/>
  <c r="AA23"/>
  <c r="U21"/>
  <c r="T21"/>
  <c r="R18"/>
  <c r="N18"/>
  <c r="J18"/>
  <c r="F18"/>
  <c r="AN22"/>
  <c r="AM22"/>
  <c r="AJ22"/>
  <c r="AI22"/>
  <c r="AF22"/>
  <c r="AE22"/>
  <c r="AB22"/>
  <c r="AA22"/>
  <c r="U41"/>
  <c r="T41"/>
  <c r="R29"/>
  <c r="N29"/>
  <c r="J29"/>
  <c r="F29"/>
  <c r="AN21"/>
  <c r="AM21"/>
  <c r="AJ21"/>
  <c r="AI21"/>
  <c r="AF21"/>
  <c r="AE21"/>
  <c r="AB21"/>
  <c r="AA21"/>
  <c r="U13"/>
  <c r="T13"/>
  <c r="R67"/>
  <c r="N67"/>
  <c r="J67"/>
  <c r="F67"/>
  <c r="AN20"/>
  <c r="AM20"/>
  <c r="AJ20"/>
  <c r="AI20"/>
  <c r="AF20"/>
  <c r="AE20"/>
  <c r="AB20"/>
  <c r="AA20"/>
  <c r="U43"/>
  <c r="T43"/>
  <c r="R63"/>
  <c r="N63"/>
  <c r="J63"/>
  <c r="F63"/>
  <c r="AN19"/>
  <c r="AM19"/>
  <c r="AJ19"/>
  <c r="AI19"/>
  <c r="AF19"/>
  <c r="AE19"/>
  <c r="AB19"/>
  <c r="AA19"/>
  <c r="R60"/>
  <c r="N60"/>
  <c r="J60"/>
  <c r="F60"/>
  <c r="AN18"/>
  <c r="AM18"/>
  <c r="AJ18"/>
  <c r="AI18"/>
  <c r="AF18"/>
  <c r="AE18"/>
  <c r="AB18"/>
  <c r="AA18"/>
  <c r="U12"/>
  <c r="T12"/>
  <c r="R13"/>
  <c r="N13"/>
  <c r="J13"/>
  <c r="F13"/>
  <c r="AN17"/>
  <c r="AM17"/>
  <c r="AJ17"/>
  <c r="AI17"/>
  <c r="AF17"/>
  <c r="AE17"/>
  <c r="AB17"/>
  <c r="AA17"/>
  <c r="U70"/>
  <c r="T70"/>
  <c r="R49"/>
  <c r="N49"/>
  <c r="J49"/>
  <c r="F49"/>
  <c r="AN16"/>
  <c r="AM16"/>
  <c r="AJ16"/>
  <c r="AI16"/>
  <c r="AF16"/>
  <c r="AE16"/>
  <c r="AB16"/>
  <c r="AA16"/>
  <c r="U17"/>
  <c r="T17"/>
  <c r="R30"/>
  <c r="N30"/>
  <c r="J30"/>
  <c r="F30"/>
  <c r="AN15"/>
  <c r="AM15"/>
  <c r="AJ15"/>
  <c r="AI15"/>
  <c r="AF15"/>
  <c r="AE15"/>
  <c r="AB15"/>
  <c r="AA15"/>
  <c r="U46"/>
  <c r="T46"/>
  <c r="R57"/>
  <c r="N57"/>
  <c r="J57"/>
  <c r="F57"/>
  <c r="AN14"/>
  <c r="AM14"/>
  <c r="AJ14"/>
  <c r="AI14"/>
  <c r="AF14"/>
  <c r="AE14"/>
  <c r="AB14"/>
  <c r="AA14"/>
  <c r="U59"/>
  <c r="T59"/>
  <c r="R21"/>
  <c r="N21"/>
  <c r="J21"/>
  <c r="F21"/>
  <c r="AN13"/>
  <c r="AM13"/>
  <c r="AJ13"/>
  <c r="AI13"/>
  <c r="AF13"/>
  <c r="AE13"/>
  <c r="AB13"/>
  <c r="AA13"/>
  <c r="U15"/>
  <c r="T15"/>
  <c r="R32"/>
  <c r="N32"/>
  <c r="J32"/>
  <c r="F32"/>
  <c r="AN12"/>
  <c r="AM12"/>
  <c r="AJ12"/>
  <c r="AI12"/>
  <c r="AF12"/>
  <c r="AE12"/>
  <c r="AB12"/>
  <c r="AA12"/>
  <c r="U57"/>
  <c r="T57"/>
  <c r="R59"/>
  <c r="N59"/>
  <c r="J59"/>
  <c r="F59"/>
  <c r="AN11"/>
  <c r="AM11"/>
  <c r="AJ11"/>
  <c r="AI11"/>
  <c r="AF11"/>
  <c r="AE11"/>
  <c r="AB11"/>
  <c r="AA11"/>
  <c r="U47"/>
  <c r="T47"/>
  <c r="R34"/>
  <c r="N34"/>
  <c r="J34"/>
  <c r="F34"/>
  <c r="Q244"/>
  <c r="M244"/>
  <c r="I244"/>
  <c r="E244"/>
  <c r="P243"/>
  <c r="L243"/>
  <c r="H243"/>
  <c r="D243"/>
  <c r="AL242"/>
  <c r="AH242"/>
  <c r="AN237"/>
  <c r="AM237"/>
  <c r="AJ237"/>
  <c r="AI237"/>
  <c r="AF237"/>
  <c r="AE237"/>
  <c r="AB237"/>
  <c r="AA237"/>
  <c r="U237"/>
  <c r="X237" s="1"/>
  <c r="Z237" s="1"/>
  <c r="T237"/>
  <c r="S237"/>
  <c r="R237"/>
  <c r="O237"/>
  <c r="N237"/>
  <c r="K237"/>
  <c r="J237"/>
  <c r="G237"/>
  <c r="F237"/>
  <c r="AN236"/>
  <c r="AM236"/>
  <c r="AJ236"/>
  <c r="AI236"/>
  <c r="AF236"/>
  <c r="AE236"/>
  <c r="AB236"/>
  <c r="AA236"/>
  <c r="U236"/>
  <c r="T236"/>
  <c r="S236"/>
  <c r="R236"/>
  <c r="O236"/>
  <c r="N236"/>
  <c r="K236"/>
  <c r="J236"/>
  <c r="G236"/>
  <c r="F236"/>
  <c r="AN235"/>
  <c r="AM235"/>
  <c r="AJ235"/>
  <c r="AI235"/>
  <c r="AF235"/>
  <c r="AE235"/>
  <c r="AB235"/>
  <c r="AA235"/>
  <c r="U235"/>
  <c r="T235"/>
  <c r="S235"/>
  <c r="R235"/>
  <c r="O235"/>
  <c r="N235"/>
  <c r="K235"/>
  <c r="J235"/>
  <c r="G235"/>
  <c r="F235"/>
  <c r="AN234"/>
  <c r="AM234"/>
  <c r="AJ234"/>
  <c r="AI234"/>
  <c r="AF234"/>
  <c r="AE234"/>
  <c r="AB234"/>
  <c r="AA234"/>
  <c r="U234"/>
  <c r="T234"/>
  <c r="S234"/>
  <c r="R234"/>
  <c r="O234"/>
  <c r="N234"/>
  <c r="K234"/>
  <c r="J234"/>
  <c r="G234"/>
  <c r="F234"/>
  <c r="AN233"/>
  <c r="AM233"/>
  <c r="AJ233"/>
  <c r="AI233"/>
  <c r="AF233"/>
  <c r="AE233"/>
  <c r="AB233"/>
  <c r="AA233"/>
  <c r="U233"/>
  <c r="X233" s="1"/>
  <c r="Z233" s="1"/>
  <c r="T233"/>
  <c r="S233"/>
  <c r="R233"/>
  <c r="O233"/>
  <c r="N233"/>
  <c r="K233"/>
  <c r="J233"/>
  <c r="G233"/>
  <c r="F233"/>
  <c r="AN232"/>
  <c r="AM232"/>
  <c r="AJ232"/>
  <c r="AI232"/>
  <c r="AF232"/>
  <c r="AE232"/>
  <c r="AB232"/>
  <c r="AA232"/>
  <c r="U232"/>
  <c r="T232"/>
  <c r="S232"/>
  <c r="R232"/>
  <c r="O232"/>
  <c r="N232"/>
  <c r="K232"/>
  <c r="J232"/>
  <c r="G232"/>
  <c r="F232"/>
  <c r="AN231"/>
  <c r="AM231"/>
  <c r="AJ231"/>
  <c r="AI231"/>
  <c r="AF231"/>
  <c r="AE231"/>
  <c r="AB231"/>
  <c r="AA231"/>
  <c r="U231"/>
  <c r="T231"/>
  <c r="S231"/>
  <c r="R231"/>
  <c r="O231"/>
  <c r="N231"/>
  <c r="K231"/>
  <c r="J231"/>
  <c r="G231"/>
  <c r="F231"/>
  <c r="AN230"/>
  <c r="AM230"/>
  <c r="AJ230"/>
  <c r="AI230"/>
  <c r="AF230"/>
  <c r="AE230"/>
  <c r="AB230"/>
  <c r="AA230"/>
  <c r="U230"/>
  <c r="T230"/>
  <c r="S230"/>
  <c r="R230"/>
  <c r="O230"/>
  <c r="N230"/>
  <c r="K230"/>
  <c r="J230"/>
  <c r="G230"/>
  <c r="F230"/>
  <c r="AN229"/>
  <c r="AM229"/>
  <c r="AJ229"/>
  <c r="AI229"/>
  <c r="AF229"/>
  <c r="AE229"/>
  <c r="AB229"/>
  <c r="AA229"/>
  <c r="U229"/>
  <c r="T229"/>
  <c r="S229"/>
  <c r="R229"/>
  <c r="O229"/>
  <c r="N229"/>
  <c r="K229"/>
  <c r="J229"/>
  <c r="G229"/>
  <c r="F229"/>
  <c r="AN228"/>
  <c r="AM228"/>
  <c r="AJ228"/>
  <c r="AI228"/>
  <c r="AF228"/>
  <c r="AE228"/>
  <c r="AB228"/>
  <c r="AA228"/>
  <c r="U228"/>
  <c r="T228"/>
  <c r="S228"/>
  <c r="R228"/>
  <c r="O228"/>
  <c r="N228"/>
  <c r="K228"/>
  <c r="J228"/>
  <c r="G228"/>
  <c r="F228"/>
  <c r="AN227"/>
  <c r="AM227"/>
  <c r="AJ227"/>
  <c r="AI227"/>
  <c r="AF227"/>
  <c r="AE227"/>
  <c r="AB227"/>
  <c r="AA227"/>
  <c r="U227"/>
  <c r="T227"/>
  <c r="S227"/>
  <c r="R227"/>
  <c r="O227"/>
  <c r="N227"/>
  <c r="K227"/>
  <c r="J227"/>
  <c r="G227"/>
  <c r="F227"/>
  <c r="AN226"/>
  <c r="AM226"/>
  <c r="AJ226"/>
  <c r="AI226"/>
  <c r="AF226"/>
  <c r="AE226"/>
  <c r="AB226"/>
  <c r="AA226"/>
  <c r="U226"/>
  <c r="T226"/>
  <c r="S226"/>
  <c r="R226"/>
  <c r="O226"/>
  <c r="N226"/>
  <c r="K226"/>
  <c r="J226"/>
  <c r="G226"/>
  <c r="F226"/>
  <c r="AN225"/>
  <c r="AM225"/>
  <c r="AJ225"/>
  <c r="AI225"/>
  <c r="AF225"/>
  <c r="AE225"/>
  <c r="AB225"/>
  <c r="AA225"/>
  <c r="U225"/>
  <c r="T225"/>
  <c r="S225"/>
  <c r="R225"/>
  <c r="O225"/>
  <c r="N225"/>
  <c r="K225"/>
  <c r="J225"/>
  <c r="G225"/>
  <c r="F225"/>
  <c r="AN224"/>
  <c r="AM224"/>
  <c r="AJ224"/>
  <c r="AI224"/>
  <c r="AF224"/>
  <c r="AE224"/>
  <c r="AB224"/>
  <c r="AA224"/>
  <c r="U224"/>
  <c r="T224"/>
  <c r="S224"/>
  <c r="R224"/>
  <c r="O224"/>
  <c r="N224"/>
  <c r="K224"/>
  <c r="J224"/>
  <c r="G224"/>
  <c r="F224"/>
  <c r="AN223"/>
  <c r="AM223"/>
  <c r="AJ223"/>
  <c r="AI223"/>
  <c r="AF223"/>
  <c r="AE223"/>
  <c r="AB223"/>
  <c r="AA223"/>
  <c r="U223"/>
  <c r="T223"/>
  <c r="S223"/>
  <c r="R223"/>
  <c r="O223"/>
  <c r="N223"/>
  <c r="K223"/>
  <c r="J223"/>
  <c r="G223"/>
  <c r="F223"/>
  <c r="AN222"/>
  <c r="AM222"/>
  <c r="AJ222"/>
  <c r="AI222"/>
  <c r="AF222"/>
  <c r="AE222"/>
  <c r="AB222"/>
  <c r="AA222"/>
  <c r="U222"/>
  <c r="T222"/>
  <c r="S222"/>
  <c r="R222"/>
  <c r="O222"/>
  <c r="N222"/>
  <c r="K222"/>
  <c r="J222"/>
  <c r="G222"/>
  <c r="F222"/>
  <c r="AN221"/>
  <c r="AM221"/>
  <c r="AJ221"/>
  <c r="AI221"/>
  <c r="AF221"/>
  <c r="AE221"/>
  <c r="AB221"/>
  <c r="AA221"/>
  <c r="U221"/>
  <c r="T221"/>
  <c r="S221"/>
  <c r="R221"/>
  <c r="O221"/>
  <c r="N221"/>
  <c r="K221"/>
  <c r="J221"/>
  <c r="G221"/>
  <c r="F221"/>
  <c r="AN220"/>
  <c r="AM220"/>
  <c r="AJ220"/>
  <c r="AI220"/>
  <c r="AF220"/>
  <c r="AE220"/>
  <c r="AB220"/>
  <c r="AA220"/>
  <c r="U220"/>
  <c r="T220"/>
  <c r="S220"/>
  <c r="R220"/>
  <c r="O220"/>
  <c r="N220"/>
  <c r="K220"/>
  <c r="J220"/>
  <c r="G220"/>
  <c r="F220"/>
  <c r="AN219"/>
  <c r="AM219"/>
  <c r="AJ219"/>
  <c r="AI219"/>
  <c r="AF219"/>
  <c r="AE219"/>
  <c r="AB219"/>
  <c r="AA219"/>
  <c r="U219"/>
  <c r="T219"/>
  <c r="S219"/>
  <c r="R219"/>
  <c r="O219"/>
  <c r="N219"/>
  <c r="K219"/>
  <c r="J219"/>
  <c r="G219"/>
  <c r="F219"/>
  <c r="AN218"/>
  <c r="AM218"/>
  <c r="AJ218"/>
  <c r="AI218"/>
  <c r="AF218"/>
  <c r="AE218"/>
  <c r="AB218"/>
  <c r="AA218"/>
  <c r="U218"/>
  <c r="T218"/>
  <c r="S218"/>
  <c r="R218"/>
  <c r="O218"/>
  <c r="N218"/>
  <c r="K218"/>
  <c r="J218"/>
  <c r="G218"/>
  <c r="F218"/>
  <c r="AN217"/>
  <c r="AM217"/>
  <c r="AJ217"/>
  <c r="AI217"/>
  <c r="AF217"/>
  <c r="AE217"/>
  <c r="AB217"/>
  <c r="AA217"/>
  <c r="U217"/>
  <c r="T217"/>
  <c r="S217"/>
  <c r="R217"/>
  <c r="O217"/>
  <c r="N217"/>
  <c r="K217"/>
  <c r="J217"/>
  <c r="G217"/>
  <c r="F217"/>
  <c r="AN216"/>
  <c r="AM216"/>
  <c r="AJ216"/>
  <c r="AI216"/>
  <c r="AF216"/>
  <c r="AE216"/>
  <c r="AB216"/>
  <c r="AA216"/>
  <c r="U216"/>
  <c r="T216"/>
  <c r="S216"/>
  <c r="R216"/>
  <c r="O216"/>
  <c r="N216"/>
  <c r="K216"/>
  <c r="J216"/>
  <c r="G216"/>
  <c r="F216"/>
  <c r="AN215"/>
  <c r="AM215"/>
  <c r="AJ215"/>
  <c r="AI215"/>
  <c r="AF215"/>
  <c r="AE215"/>
  <c r="AB215"/>
  <c r="AA215"/>
  <c r="U215"/>
  <c r="T215"/>
  <c r="S215"/>
  <c r="R215"/>
  <c r="O215"/>
  <c r="N215"/>
  <c r="K215"/>
  <c r="J215"/>
  <c r="G215"/>
  <c r="F215"/>
  <c r="AN214"/>
  <c r="AM214"/>
  <c r="AJ214"/>
  <c r="AI214"/>
  <c r="AF214"/>
  <c r="AE214"/>
  <c r="AB214"/>
  <c r="AA214"/>
  <c r="U214"/>
  <c r="T214"/>
  <c r="S214"/>
  <c r="R214"/>
  <c r="O214"/>
  <c r="N214"/>
  <c r="K214"/>
  <c r="J214"/>
  <c r="G214"/>
  <c r="F214"/>
  <c r="AN213"/>
  <c r="AM213"/>
  <c r="AJ213"/>
  <c r="AI213"/>
  <c r="AF213"/>
  <c r="AE213"/>
  <c r="AB213"/>
  <c r="AA213"/>
  <c r="U213"/>
  <c r="T213"/>
  <c r="S213"/>
  <c r="R213"/>
  <c r="O213"/>
  <c r="N213"/>
  <c r="K213"/>
  <c r="J213"/>
  <c r="G213"/>
  <c r="F213"/>
  <c r="AN212"/>
  <c r="AM212"/>
  <c r="AJ212"/>
  <c r="AI212"/>
  <c r="AF212"/>
  <c r="AE212"/>
  <c r="AB212"/>
  <c r="AA212"/>
  <c r="U212"/>
  <c r="T212"/>
  <c r="S212"/>
  <c r="R212"/>
  <c r="O212"/>
  <c r="N212"/>
  <c r="K212"/>
  <c r="J212"/>
  <c r="G212"/>
  <c r="W212" s="1"/>
  <c r="F212"/>
  <c r="AN211"/>
  <c r="AM211"/>
  <c r="AJ211"/>
  <c r="AI211"/>
  <c r="AF211"/>
  <c r="AE211"/>
  <c r="AB211"/>
  <c r="AA211"/>
  <c r="U211"/>
  <c r="T211"/>
  <c r="S211"/>
  <c r="R211"/>
  <c r="O211"/>
  <c r="N211"/>
  <c r="K211"/>
  <c r="J211"/>
  <c r="G211"/>
  <c r="F211"/>
  <c r="AN210"/>
  <c r="AM210"/>
  <c r="AJ210"/>
  <c r="AI210"/>
  <c r="AF210"/>
  <c r="AE210"/>
  <c r="AB210"/>
  <c r="AA210"/>
  <c r="U210"/>
  <c r="T210"/>
  <c r="S210"/>
  <c r="R210"/>
  <c r="O210"/>
  <c r="N210"/>
  <c r="K210"/>
  <c r="J210"/>
  <c r="G210"/>
  <c r="W210" s="1"/>
  <c r="F210"/>
  <c r="AN209"/>
  <c r="AM209"/>
  <c r="AJ209"/>
  <c r="AI209"/>
  <c r="AF209"/>
  <c r="AE209"/>
  <c r="AB209"/>
  <c r="AA209"/>
  <c r="U209"/>
  <c r="T209"/>
  <c r="S209"/>
  <c r="R209"/>
  <c r="O209"/>
  <c r="N209"/>
  <c r="K209"/>
  <c r="J209"/>
  <c r="G209"/>
  <c r="F209"/>
  <c r="AN208"/>
  <c r="AM208"/>
  <c r="AJ208"/>
  <c r="AI208"/>
  <c r="AF208"/>
  <c r="AE208"/>
  <c r="AB208"/>
  <c r="AA208"/>
  <c r="U208"/>
  <c r="T208"/>
  <c r="S208"/>
  <c r="R208"/>
  <c r="O208"/>
  <c r="N208"/>
  <c r="K208"/>
  <c r="J208"/>
  <c r="G208"/>
  <c r="W208" s="1"/>
  <c r="F208"/>
  <c r="AN207"/>
  <c r="AM207"/>
  <c r="AJ207"/>
  <c r="AI207"/>
  <c r="AF207"/>
  <c r="AE207"/>
  <c r="AB207"/>
  <c r="AA207"/>
  <c r="U207"/>
  <c r="T207"/>
  <c r="S207"/>
  <c r="R207"/>
  <c r="O207"/>
  <c r="N207"/>
  <c r="K207"/>
  <c r="W207" s="1"/>
  <c r="J207"/>
  <c r="G207"/>
  <c r="F207"/>
  <c r="AN206"/>
  <c r="AM206"/>
  <c r="AJ206"/>
  <c r="AI206"/>
  <c r="AF206"/>
  <c r="AE206"/>
  <c r="AB206"/>
  <c r="AA206"/>
  <c r="U206"/>
  <c r="T206"/>
  <c r="S206"/>
  <c r="R206"/>
  <c r="O206"/>
  <c r="N206"/>
  <c r="K206"/>
  <c r="J206"/>
  <c r="G206"/>
  <c r="W206" s="1"/>
  <c r="F206"/>
  <c r="AN205"/>
  <c r="AM205"/>
  <c r="AJ205"/>
  <c r="AI205"/>
  <c r="AF205"/>
  <c r="AE205"/>
  <c r="AB205"/>
  <c r="AA205"/>
  <c r="U205"/>
  <c r="T205"/>
  <c r="S205"/>
  <c r="R205"/>
  <c r="O205"/>
  <c r="N205"/>
  <c r="K205"/>
  <c r="J205"/>
  <c r="G205"/>
  <c r="F205"/>
  <c r="AN204"/>
  <c r="AM204"/>
  <c r="AJ204"/>
  <c r="AI204"/>
  <c r="AF204"/>
  <c r="AE204"/>
  <c r="AB204"/>
  <c r="AA204"/>
  <c r="U204"/>
  <c r="T204"/>
  <c r="S204"/>
  <c r="R204"/>
  <c r="O204"/>
  <c r="N204"/>
  <c r="K204"/>
  <c r="J204"/>
  <c r="G204"/>
  <c r="W204" s="1"/>
  <c r="F204"/>
  <c r="AN203"/>
  <c r="AM203"/>
  <c r="AJ203"/>
  <c r="AI203"/>
  <c r="AF203"/>
  <c r="AE203"/>
  <c r="AB203"/>
  <c r="AA203"/>
  <c r="U203"/>
  <c r="T203"/>
  <c r="S203"/>
  <c r="R203"/>
  <c r="O203"/>
  <c r="N203"/>
  <c r="K203"/>
  <c r="J203"/>
  <c r="G203"/>
  <c r="F203"/>
  <c r="AN202"/>
  <c r="AM202"/>
  <c r="AJ202"/>
  <c r="AI202"/>
  <c r="AF202"/>
  <c r="AE202"/>
  <c r="AB202"/>
  <c r="AA202"/>
  <c r="U202"/>
  <c r="T202"/>
  <c r="S202"/>
  <c r="R202"/>
  <c r="O202"/>
  <c r="N202"/>
  <c r="K202"/>
  <c r="J202"/>
  <c r="G202"/>
  <c r="W202" s="1"/>
  <c r="F202"/>
  <c r="AN201"/>
  <c r="AM201"/>
  <c r="AJ201"/>
  <c r="AI201"/>
  <c r="AF201"/>
  <c r="AE201"/>
  <c r="AB201"/>
  <c r="AA201"/>
  <c r="U201"/>
  <c r="T201"/>
  <c r="S201"/>
  <c r="R201"/>
  <c r="O201"/>
  <c r="N201"/>
  <c r="K201"/>
  <c r="J201"/>
  <c r="G201"/>
  <c r="F201"/>
  <c r="AN200"/>
  <c r="AM200"/>
  <c r="AJ200"/>
  <c r="AI200"/>
  <c r="AF200"/>
  <c r="AE200"/>
  <c r="AB200"/>
  <c r="AA200"/>
  <c r="U200"/>
  <c r="T200"/>
  <c r="S200"/>
  <c r="R200"/>
  <c r="O200"/>
  <c r="N200"/>
  <c r="K200"/>
  <c r="J200"/>
  <c r="G200"/>
  <c r="W200" s="1"/>
  <c r="F200"/>
  <c r="AN199"/>
  <c r="AM199"/>
  <c r="AJ199"/>
  <c r="AI199"/>
  <c r="AF199"/>
  <c r="AE199"/>
  <c r="AB199"/>
  <c r="AA199"/>
  <c r="U199"/>
  <c r="T199"/>
  <c r="S199"/>
  <c r="R199"/>
  <c r="O199"/>
  <c r="N199"/>
  <c r="K199"/>
  <c r="W199" s="1"/>
  <c r="J199"/>
  <c r="G199"/>
  <c r="F199"/>
  <c r="AN198"/>
  <c r="AM198"/>
  <c r="AJ198"/>
  <c r="AI198"/>
  <c r="AF198"/>
  <c r="AE198"/>
  <c r="AB198"/>
  <c r="AA198"/>
  <c r="U198"/>
  <c r="T198"/>
  <c r="S198"/>
  <c r="R198"/>
  <c r="O198"/>
  <c r="N198"/>
  <c r="K198"/>
  <c r="J198"/>
  <c r="G198"/>
  <c r="W198" s="1"/>
  <c r="F198"/>
  <c r="AN197"/>
  <c r="AM197"/>
  <c r="AJ197"/>
  <c r="AI197"/>
  <c r="AF197"/>
  <c r="AE197"/>
  <c r="AB197"/>
  <c r="AA197"/>
  <c r="U197"/>
  <c r="T197"/>
  <c r="S197"/>
  <c r="R197"/>
  <c r="O197"/>
  <c r="N197"/>
  <c r="K197"/>
  <c r="W197" s="1"/>
  <c r="J197"/>
  <c r="G197"/>
  <c r="F197"/>
  <c r="AN196"/>
  <c r="AM196"/>
  <c r="AJ196"/>
  <c r="AI196"/>
  <c r="AF196"/>
  <c r="AE196"/>
  <c r="AB196"/>
  <c r="AA196"/>
  <c r="U196"/>
  <c r="T196"/>
  <c r="S196"/>
  <c r="R196"/>
  <c r="O196"/>
  <c r="N196"/>
  <c r="K196"/>
  <c r="J196"/>
  <c r="G196"/>
  <c r="W196" s="1"/>
  <c r="F196"/>
  <c r="AN195"/>
  <c r="AM195"/>
  <c r="AJ195"/>
  <c r="AI195"/>
  <c r="AF195"/>
  <c r="AE195"/>
  <c r="AB195"/>
  <c r="AA195"/>
  <c r="U195"/>
  <c r="T195"/>
  <c r="S195"/>
  <c r="R195"/>
  <c r="O195"/>
  <c r="N195"/>
  <c r="K195"/>
  <c r="J195"/>
  <c r="G195"/>
  <c r="F195"/>
  <c r="AN194"/>
  <c r="AM194"/>
  <c r="AJ194"/>
  <c r="AI194"/>
  <c r="AF194"/>
  <c r="AE194"/>
  <c r="AB194"/>
  <c r="AA194"/>
  <c r="U194"/>
  <c r="T194"/>
  <c r="S194"/>
  <c r="R194"/>
  <c r="O194"/>
  <c r="N194"/>
  <c r="K194"/>
  <c r="J194"/>
  <c r="G194"/>
  <c r="F194"/>
  <c r="AN193"/>
  <c r="AM193"/>
  <c r="AJ193"/>
  <c r="AI193"/>
  <c r="AF193"/>
  <c r="AE193"/>
  <c r="AB193"/>
  <c r="AA193"/>
  <c r="U193"/>
  <c r="T193"/>
  <c r="S193"/>
  <c r="R193"/>
  <c r="O193"/>
  <c r="N193"/>
  <c r="K193"/>
  <c r="J193"/>
  <c r="G193"/>
  <c r="F193"/>
  <c r="AN192"/>
  <c r="AM192"/>
  <c r="AJ192"/>
  <c r="AI192"/>
  <c r="AF192"/>
  <c r="AE192"/>
  <c r="AB192"/>
  <c r="AA192"/>
  <c r="U192"/>
  <c r="T192"/>
  <c r="S192"/>
  <c r="R192"/>
  <c r="O192"/>
  <c r="N192"/>
  <c r="K192"/>
  <c r="J192"/>
  <c r="G192"/>
  <c r="W192" s="1"/>
  <c r="F192"/>
  <c r="AN191"/>
  <c r="AM191"/>
  <c r="AJ191"/>
  <c r="AI191"/>
  <c r="AF191"/>
  <c r="AE191"/>
  <c r="AB191"/>
  <c r="AA191"/>
  <c r="U191"/>
  <c r="T191"/>
  <c r="S191"/>
  <c r="R191"/>
  <c r="O191"/>
  <c r="N191"/>
  <c r="K191"/>
  <c r="J191"/>
  <c r="G191"/>
  <c r="F191"/>
  <c r="AN190"/>
  <c r="AM190"/>
  <c r="AJ190"/>
  <c r="AI190"/>
  <c r="AF190"/>
  <c r="AE190"/>
  <c r="AB190"/>
  <c r="AA190"/>
  <c r="U190"/>
  <c r="T190"/>
  <c r="S190"/>
  <c r="R190"/>
  <c r="O190"/>
  <c r="N190"/>
  <c r="K190"/>
  <c r="J190"/>
  <c r="G190"/>
  <c r="W190" s="1"/>
  <c r="F190"/>
  <c r="AN189"/>
  <c r="AM189"/>
  <c r="AJ189"/>
  <c r="AI189"/>
  <c r="AF189"/>
  <c r="AE189"/>
  <c r="AB189"/>
  <c r="AA189"/>
  <c r="U189"/>
  <c r="T189"/>
  <c r="S189"/>
  <c r="R189"/>
  <c r="O189"/>
  <c r="N189"/>
  <c r="K189"/>
  <c r="J189"/>
  <c r="G189"/>
  <c r="F189"/>
  <c r="AN188"/>
  <c r="AM188"/>
  <c r="AJ188"/>
  <c r="AI188"/>
  <c r="AF188"/>
  <c r="AE188"/>
  <c r="AB188"/>
  <c r="AA188"/>
  <c r="U188"/>
  <c r="T188"/>
  <c r="S188"/>
  <c r="R188"/>
  <c r="O188"/>
  <c r="N188"/>
  <c r="K188"/>
  <c r="J188"/>
  <c r="G188"/>
  <c r="W188" s="1"/>
  <c r="F188"/>
  <c r="AN187"/>
  <c r="AM187"/>
  <c r="AJ187"/>
  <c r="AI187"/>
  <c r="AF187"/>
  <c r="AE187"/>
  <c r="AB187"/>
  <c r="AA187"/>
  <c r="U187"/>
  <c r="T187"/>
  <c r="S187"/>
  <c r="R187"/>
  <c r="O187"/>
  <c r="N187"/>
  <c r="K187"/>
  <c r="J187"/>
  <c r="G187"/>
  <c r="F187"/>
  <c r="AN186"/>
  <c r="AM186"/>
  <c r="AJ186"/>
  <c r="AI186"/>
  <c r="AF186"/>
  <c r="AE186"/>
  <c r="AB186"/>
  <c r="AA186"/>
  <c r="U186"/>
  <c r="T186"/>
  <c r="S186"/>
  <c r="R186"/>
  <c r="O186"/>
  <c r="N186"/>
  <c r="K186"/>
  <c r="J186"/>
  <c r="G186"/>
  <c r="W186" s="1"/>
  <c r="F186"/>
  <c r="AN185"/>
  <c r="AM185"/>
  <c r="AJ185"/>
  <c r="AI185"/>
  <c r="AF185"/>
  <c r="AE185"/>
  <c r="AB185"/>
  <c r="AA185"/>
  <c r="U185"/>
  <c r="T185"/>
  <c r="S185"/>
  <c r="R185"/>
  <c r="O185"/>
  <c r="N185"/>
  <c r="K185"/>
  <c r="J185"/>
  <c r="G185"/>
  <c r="F185"/>
  <c r="AN184"/>
  <c r="AM184"/>
  <c r="AJ184"/>
  <c r="AI184"/>
  <c r="AF184"/>
  <c r="AE184"/>
  <c r="AB184"/>
  <c r="AA184"/>
  <c r="U184"/>
  <c r="T184"/>
  <c r="S184"/>
  <c r="R184"/>
  <c r="O184"/>
  <c r="N184"/>
  <c r="K184"/>
  <c r="J184"/>
  <c r="G184"/>
  <c r="W184" s="1"/>
  <c r="F184"/>
  <c r="AN183"/>
  <c r="AM183"/>
  <c r="AJ183"/>
  <c r="AI183"/>
  <c r="AF183"/>
  <c r="AE183"/>
  <c r="AB183"/>
  <c r="AA183"/>
  <c r="U183"/>
  <c r="T183"/>
  <c r="S183"/>
  <c r="R183"/>
  <c r="O183"/>
  <c r="N183"/>
  <c r="K183"/>
  <c r="J183"/>
  <c r="G183"/>
  <c r="F183"/>
  <c r="AN182"/>
  <c r="AM182"/>
  <c r="AJ182"/>
  <c r="AI182"/>
  <c r="AF182"/>
  <c r="AE182"/>
  <c r="AB182"/>
  <c r="AA182"/>
  <c r="U182"/>
  <c r="T182"/>
  <c r="S182"/>
  <c r="R182"/>
  <c r="O182"/>
  <c r="N182"/>
  <c r="K182"/>
  <c r="J182"/>
  <c r="G182"/>
  <c r="W182" s="1"/>
  <c r="F182"/>
  <c r="AN181"/>
  <c r="AM181"/>
  <c r="AJ181"/>
  <c r="AI181"/>
  <c r="AF181"/>
  <c r="AE181"/>
  <c r="AB181"/>
  <c r="AA181"/>
  <c r="U181"/>
  <c r="T181"/>
  <c r="S181"/>
  <c r="R181"/>
  <c r="O181"/>
  <c r="N181"/>
  <c r="K181"/>
  <c r="J181"/>
  <c r="G181"/>
  <c r="F181"/>
  <c r="AN180"/>
  <c r="AM180"/>
  <c r="AJ180"/>
  <c r="AI180"/>
  <c r="AF180"/>
  <c r="AE180"/>
  <c r="AB180"/>
  <c r="AA180"/>
  <c r="U180"/>
  <c r="T180"/>
  <c r="S180"/>
  <c r="R180"/>
  <c r="O180"/>
  <c r="N180"/>
  <c r="K180"/>
  <c r="J180"/>
  <c r="G180"/>
  <c r="W180" s="1"/>
  <c r="F180"/>
  <c r="AN179"/>
  <c r="AM179"/>
  <c r="AJ179"/>
  <c r="AI179"/>
  <c r="AF179"/>
  <c r="AE179"/>
  <c r="AB179"/>
  <c r="AA179"/>
  <c r="U179"/>
  <c r="T179"/>
  <c r="S179"/>
  <c r="R179"/>
  <c r="O179"/>
  <c r="N179"/>
  <c r="K179"/>
  <c r="J179"/>
  <c r="G179"/>
  <c r="F179"/>
  <c r="AN178"/>
  <c r="AM178"/>
  <c r="AJ178"/>
  <c r="AI178"/>
  <c r="AF178"/>
  <c r="AE178"/>
  <c r="AB178"/>
  <c r="AA178"/>
  <c r="U178"/>
  <c r="T178"/>
  <c r="S178"/>
  <c r="R178"/>
  <c r="O178"/>
  <c r="N178"/>
  <c r="K178"/>
  <c r="J178"/>
  <c r="G178"/>
  <c r="W178" s="1"/>
  <c r="F178"/>
  <c r="AN177"/>
  <c r="AM177"/>
  <c r="AJ177"/>
  <c r="AI177"/>
  <c r="AF177"/>
  <c r="AE177"/>
  <c r="AB177"/>
  <c r="AA177"/>
  <c r="U177"/>
  <c r="X177" s="1"/>
  <c r="Z177" s="1"/>
  <c r="V177" s="1"/>
  <c r="T177"/>
  <c r="S177"/>
  <c r="R177"/>
  <c r="O177"/>
  <c r="N177"/>
  <c r="K177"/>
  <c r="W177" s="1"/>
  <c r="J177"/>
  <c r="G177"/>
  <c r="F177"/>
  <c r="AN176"/>
  <c r="AM176"/>
  <c r="AJ176"/>
  <c r="AI176"/>
  <c r="AF176"/>
  <c r="AE176"/>
  <c r="AB176"/>
  <c r="AA176"/>
  <c r="U176"/>
  <c r="T176"/>
  <c r="S176"/>
  <c r="R176"/>
  <c r="O176"/>
  <c r="N176"/>
  <c r="K176"/>
  <c r="J176"/>
  <c r="G176"/>
  <c r="W176" s="1"/>
  <c r="F176"/>
  <c r="AN175"/>
  <c r="AM175"/>
  <c r="AJ175"/>
  <c r="AI175"/>
  <c r="AF175"/>
  <c r="AE175"/>
  <c r="AB175"/>
  <c r="AA175"/>
  <c r="U175"/>
  <c r="T175"/>
  <c r="S175"/>
  <c r="R175"/>
  <c r="O175"/>
  <c r="N175"/>
  <c r="K175"/>
  <c r="K238" s="1"/>
  <c r="J175"/>
  <c r="G175"/>
  <c r="F175"/>
  <c r="AN174"/>
  <c r="AM174"/>
  <c r="AJ174"/>
  <c r="AI174"/>
  <c r="AF174"/>
  <c r="AE174"/>
  <c r="AB174"/>
  <c r="AA174"/>
  <c r="U174"/>
  <c r="T174"/>
  <c r="S174"/>
  <c r="R174"/>
  <c r="O174"/>
  <c r="N174"/>
  <c r="K174"/>
  <c r="J174"/>
  <c r="G174"/>
  <c r="W174" s="1"/>
  <c r="F174"/>
  <c r="W228"/>
  <c r="W230"/>
  <c r="W232"/>
  <c r="W234"/>
  <c r="W236"/>
  <c r="W214"/>
  <c r="W216"/>
  <c r="W218"/>
  <c r="W220"/>
  <c r="W222"/>
  <c r="W224"/>
  <c r="W226"/>
  <c r="X206"/>
  <c r="Z206" s="1"/>
  <c r="X218"/>
  <c r="Z218" s="1"/>
  <c r="X226"/>
  <c r="Z226" s="1"/>
  <c r="X234"/>
  <c r="Z234" s="1"/>
  <c r="W194"/>
  <c r="W201"/>
  <c r="W203"/>
  <c r="W205"/>
  <c r="W209"/>
  <c r="W211"/>
  <c r="W213"/>
  <c r="W215"/>
  <c r="W217"/>
  <c r="W219"/>
  <c r="W221"/>
  <c r="W223"/>
  <c r="W225"/>
  <c r="W227"/>
  <c r="W229"/>
  <c r="W231"/>
  <c r="W233"/>
  <c r="W235"/>
  <c r="W237"/>
  <c r="X175"/>
  <c r="Z175" s="1"/>
  <c r="X189"/>
  <c r="Z189" s="1"/>
  <c r="X199"/>
  <c r="Z199" s="1"/>
  <c r="X203"/>
  <c r="Z203" s="1"/>
  <c r="X207"/>
  <c r="Z207" s="1"/>
  <c r="X211"/>
  <c r="Z211" s="1"/>
  <c r="X215"/>
  <c r="Z215" s="1"/>
  <c r="X219"/>
  <c r="Z219" s="1"/>
  <c r="X223"/>
  <c r="Z223" s="1"/>
  <c r="V223" s="1"/>
  <c r="X227"/>
  <c r="Z227" s="1"/>
  <c r="X231"/>
  <c r="Z231" s="1"/>
  <c r="X235"/>
  <c r="Z235" s="1"/>
  <c r="W40" l="1"/>
  <c r="W64"/>
  <c r="W46"/>
  <c r="W18"/>
  <c r="W12"/>
  <c r="W57"/>
  <c r="W52"/>
  <c r="W37"/>
  <c r="W36"/>
  <c r="W49"/>
  <c r="W70"/>
  <c r="W43"/>
  <c r="N245"/>
  <c r="X192"/>
  <c r="Z192" s="1"/>
  <c r="X200"/>
  <c r="Z200" s="1"/>
  <c r="V200" s="1"/>
  <c r="X208"/>
  <c r="Z208" s="1"/>
  <c r="X214"/>
  <c r="Z214" s="1"/>
  <c r="X216"/>
  <c r="Z216" s="1"/>
  <c r="V216" s="1"/>
  <c r="X220"/>
  <c r="Z220" s="1"/>
  <c r="V220" s="1"/>
  <c r="X222"/>
  <c r="Z222" s="1"/>
  <c r="V222" s="1"/>
  <c r="X224"/>
  <c r="Z224" s="1"/>
  <c r="V224" s="1"/>
  <c r="X228"/>
  <c r="Z228" s="1"/>
  <c r="V228" s="1"/>
  <c r="X230"/>
  <c r="Z230" s="1"/>
  <c r="X232"/>
  <c r="Z232" s="1"/>
  <c r="X236"/>
  <c r="Z236" s="1"/>
  <c r="W14"/>
  <c r="X187"/>
  <c r="Z187" s="1"/>
  <c r="W193"/>
  <c r="W187"/>
  <c r="V215"/>
  <c r="V235"/>
  <c r="V203"/>
  <c r="X188"/>
  <c r="Z188" s="1"/>
  <c r="W21"/>
  <c r="X196"/>
  <c r="Z196" s="1"/>
  <c r="V196" s="1"/>
  <c r="V237"/>
  <c r="W185"/>
  <c r="W189"/>
  <c r="W191"/>
  <c r="AE240"/>
  <c r="X193"/>
  <c r="Z193" s="1"/>
  <c r="V193" s="1"/>
  <c r="V199"/>
  <c r="W179"/>
  <c r="X179"/>
  <c r="Z179" s="1"/>
  <c r="V179" s="1"/>
  <c r="W181"/>
  <c r="W183"/>
  <c r="X183"/>
  <c r="Z183" s="1"/>
  <c r="X185"/>
  <c r="Z185" s="1"/>
  <c r="V185" s="1"/>
  <c r="X191"/>
  <c r="Z191" s="1"/>
  <c r="X194"/>
  <c r="Z194" s="1"/>
  <c r="X198"/>
  <c r="Z198" s="1"/>
  <c r="X202"/>
  <c r="Z202" s="1"/>
  <c r="X204"/>
  <c r="Z204" s="1"/>
  <c r="V204" s="1"/>
  <c r="X210"/>
  <c r="Z210" s="1"/>
  <c r="X212"/>
  <c r="Z212" s="1"/>
  <c r="G238"/>
  <c r="O238"/>
  <c r="U244"/>
  <c r="AF242"/>
  <c r="I242" s="1"/>
  <c r="AN240"/>
  <c r="X178"/>
  <c r="Z178" s="1"/>
  <c r="V178" s="1"/>
  <c r="X180"/>
  <c r="Z180" s="1"/>
  <c r="V180" s="1"/>
  <c r="X182"/>
  <c r="Z182" s="1"/>
  <c r="X184"/>
  <c r="Z184" s="1"/>
  <c r="V184" s="1"/>
  <c r="J245"/>
  <c r="AI242"/>
  <c r="L242" s="1"/>
  <c r="X186"/>
  <c r="Z186" s="1"/>
  <c r="V186" s="1"/>
  <c r="X190"/>
  <c r="Z190" s="1"/>
  <c r="V190" s="1"/>
  <c r="W195"/>
  <c r="X195"/>
  <c r="Z195" s="1"/>
  <c r="X217"/>
  <c r="Z217" s="1"/>
  <c r="V217" s="1"/>
  <c r="X225"/>
  <c r="Z225" s="1"/>
  <c r="V225" s="1"/>
  <c r="V187"/>
  <c r="AN242"/>
  <c r="Q242" s="1"/>
  <c r="F245"/>
  <c r="T243"/>
  <c r="AE242"/>
  <c r="H242" s="1"/>
  <c r="AM242"/>
  <c r="P242" s="1"/>
  <c r="X176"/>
  <c r="Z176" s="1"/>
  <c r="V176" s="1"/>
  <c r="V214"/>
  <c r="V219"/>
  <c r="X221"/>
  <c r="Z221" s="1"/>
  <c r="V227"/>
  <c r="X229"/>
  <c r="Z229" s="1"/>
  <c r="V233"/>
  <c r="S238"/>
  <c r="AJ242"/>
  <c r="M242" s="1"/>
  <c r="AB240"/>
  <c r="W175"/>
  <c r="AF240"/>
  <c r="AB242"/>
  <c r="E242" s="1"/>
  <c r="AJ240"/>
  <c r="R245"/>
  <c r="AA242"/>
  <c r="D242" s="1"/>
  <c r="AI240"/>
  <c r="X181"/>
  <c r="Z181" s="1"/>
  <c r="V181" s="1"/>
  <c r="X197"/>
  <c r="Z197" s="1"/>
  <c r="V197" s="1"/>
  <c r="X201"/>
  <c r="Z201" s="1"/>
  <c r="V201" s="1"/>
  <c r="V202"/>
  <c r="X205"/>
  <c r="Z205" s="1"/>
  <c r="V205" s="1"/>
  <c r="V206"/>
  <c r="X209"/>
  <c r="Z209" s="1"/>
  <c r="V209" s="1"/>
  <c r="V210"/>
  <c r="V211"/>
  <c r="X213"/>
  <c r="Z213" s="1"/>
  <c r="V213" s="1"/>
  <c r="V218"/>
  <c r="AI79"/>
  <c r="L79" s="1"/>
  <c r="N82"/>
  <c r="W44"/>
  <c r="W26"/>
  <c r="V191"/>
  <c r="AF79"/>
  <c r="I79" s="1"/>
  <c r="W13"/>
  <c r="AE77"/>
  <c r="AM77"/>
  <c r="W30"/>
  <c r="W54"/>
  <c r="W65"/>
  <c r="AI77"/>
  <c r="AJ77"/>
  <c r="W67"/>
  <c r="W20"/>
  <c r="W33"/>
  <c r="W22"/>
  <c r="W42"/>
  <c r="W31"/>
  <c r="W34"/>
  <c r="W66"/>
  <c r="W17"/>
  <c r="W51"/>
  <c r="W24"/>
  <c r="W25"/>
  <c r="W19"/>
  <c r="W56"/>
  <c r="W35"/>
  <c r="AN77"/>
  <c r="W58"/>
  <c r="W39"/>
  <c r="W47"/>
  <c r="W53"/>
  <c r="X47"/>
  <c r="X60"/>
  <c r="X71"/>
  <c r="X19"/>
  <c r="X26"/>
  <c r="X49"/>
  <c r="X14"/>
  <c r="X39"/>
  <c r="X33"/>
  <c r="X52"/>
  <c r="X74"/>
  <c r="Z74" s="1"/>
  <c r="V175"/>
  <c r="V208"/>
  <c r="V212"/>
  <c r="V230"/>
  <c r="V231"/>
  <c r="V234"/>
  <c r="V236"/>
  <c r="V188"/>
  <c r="V192"/>
  <c r="V182"/>
  <c r="V183"/>
  <c r="V194"/>
  <c r="V195"/>
  <c r="V198"/>
  <c r="V207"/>
  <c r="V221"/>
  <c r="V226"/>
  <c r="V229"/>
  <c r="V232"/>
  <c r="V189"/>
  <c r="AM240"/>
  <c r="AA240"/>
  <c r="W72"/>
  <c r="W55"/>
  <c r="W59"/>
  <c r="W28"/>
  <c r="X174"/>
  <c r="Z174" s="1"/>
  <c r="V174" s="1"/>
  <c r="AE79"/>
  <c r="H79" s="1"/>
  <c r="AA79"/>
  <c r="D79" s="1"/>
  <c r="X16"/>
  <c r="X68"/>
  <c r="W61"/>
  <c r="W48"/>
  <c r="W15"/>
  <c r="AB77"/>
  <c r="AN79"/>
  <c r="Q79" s="1"/>
  <c r="R82"/>
  <c r="W32"/>
  <c r="W29"/>
  <c r="W41"/>
  <c r="W69"/>
  <c r="W68"/>
  <c r="AJ79"/>
  <c r="X46"/>
  <c r="X35"/>
  <c r="X51"/>
  <c r="X45"/>
  <c r="Z68" s="1"/>
  <c r="X31"/>
  <c r="X65"/>
  <c r="X63"/>
  <c r="J82"/>
  <c r="AF77"/>
  <c r="X70"/>
  <c r="W38"/>
  <c r="W63"/>
  <c r="W45"/>
  <c r="AA77"/>
  <c r="W74"/>
  <c r="W60"/>
  <c r="W23"/>
  <c r="W62"/>
  <c r="AB79"/>
  <c r="X57"/>
  <c r="X59"/>
  <c r="X50"/>
  <c r="X54"/>
  <c r="X62"/>
  <c r="X22"/>
  <c r="X42"/>
  <c r="X64"/>
  <c r="X18"/>
  <c r="AM79"/>
  <c r="P79" s="1"/>
  <c r="X36"/>
  <c r="X66"/>
  <c r="W11"/>
  <c r="W27"/>
  <c r="W50"/>
  <c r="W16"/>
  <c r="W73"/>
  <c r="X43"/>
  <c r="X41"/>
  <c r="X48"/>
  <c r="X34"/>
  <c r="X38"/>
  <c r="X23"/>
  <c r="X37"/>
  <c r="X69"/>
  <c r="X17"/>
  <c r="Z71" s="1"/>
  <c r="X12"/>
  <c r="X13"/>
  <c r="X21"/>
  <c r="X55"/>
  <c r="U81"/>
  <c r="W71"/>
  <c r="X15"/>
  <c r="Z69" s="1"/>
  <c r="X40"/>
  <c r="X25"/>
  <c r="X20"/>
  <c r="X27"/>
  <c r="X28"/>
  <c r="X67"/>
  <c r="X58"/>
  <c r="Z33" s="1"/>
  <c r="X29"/>
  <c r="X56"/>
  <c r="Z55" s="1"/>
  <c r="X61"/>
  <c r="X73"/>
  <c r="X30"/>
  <c r="Z52" s="1"/>
  <c r="X53"/>
  <c r="X11"/>
  <c r="T80"/>
  <c r="X32"/>
  <c r="X72"/>
  <c r="X44"/>
  <c r="Z39" s="1"/>
  <c r="X24"/>
  <c r="F82"/>
  <c r="Z63" l="1"/>
  <c r="Z37"/>
  <c r="Z16"/>
  <c r="Z47"/>
  <c r="Z48"/>
  <c r="Z26"/>
  <c r="Z51"/>
  <c r="Z11"/>
  <c r="V11" s="1"/>
  <c r="Z19"/>
  <c r="Z24"/>
  <c r="Z40"/>
  <c r="Z72"/>
  <c r="Z38"/>
  <c r="Z44"/>
  <c r="Z13"/>
  <c r="Z42"/>
  <c r="Z12"/>
  <c r="V12" s="1"/>
  <c r="Z66"/>
  <c r="Z54"/>
  <c r="Z50"/>
  <c r="Z70"/>
  <c r="V70" s="1"/>
  <c r="Z25"/>
  <c r="Z35"/>
  <c r="Z58"/>
  <c r="V58" s="1"/>
  <c r="V52"/>
  <c r="Z21"/>
  <c r="V21" s="1"/>
  <c r="Z28"/>
  <c r="V39" s="1"/>
  <c r="Z41"/>
  <c r="V69"/>
  <c r="V68"/>
  <c r="Z15"/>
  <c r="Z18"/>
  <c r="V55"/>
  <c r="Z56"/>
  <c r="Z60"/>
  <c r="Z57"/>
  <c r="V57" s="1"/>
  <c r="Z32"/>
  <c r="V32" s="1"/>
  <c r="Z17"/>
  <c r="V71" s="1"/>
  <c r="V44"/>
  <c r="Z29"/>
  <c r="Z62"/>
  <c r="V62" s="1"/>
  <c r="Z27"/>
  <c r="V25" s="1"/>
  <c r="Z46"/>
  <c r="Z61"/>
  <c r="Z45"/>
  <c r="Z34"/>
  <c r="Z53"/>
  <c r="V53" s="1"/>
  <c r="Z67"/>
  <c r="Z22"/>
  <c r="V24" s="1"/>
  <c r="Z49"/>
  <c r="V49" s="1"/>
  <c r="Z31"/>
  <c r="V37"/>
  <c r="Z65"/>
  <c r="Z59"/>
  <c r="V66" s="1"/>
  <c r="Z20"/>
  <c r="Z36"/>
  <c r="Z43"/>
  <c r="Z14"/>
  <c r="Z30"/>
  <c r="Z73"/>
  <c r="V33" s="1"/>
  <c r="Z64"/>
  <c r="V26" s="1"/>
  <c r="Z23"/>
  <c r="V47" s="1"/>
  <c r="L83"/>
  <c r="I83"/>
  <c r="Q83"/>
  <c r="P83"/>
  <c r="M79"/>
  <c r="M83"/>
  <c r="H83"/>
  <c r="D83"/>
  <c r="E79"/>
  <c r="E83"/>
  <c r="V63" l="1"/>
  <c r="V16"/>
  <c r="V19"/>
  <c r="V54"/>
  <c r="V48"/>
  <c r="V51"/>
  <c r="V40"/>
  <c r="V13"/>
  <c r="V38"/>
  <c r="V50"/>
  <c r="V36"/>
  <c r="V72"/>
  <c r="V20"/>
  <c r="V35"/>
  <c r="V42"/>
  <c r="V28"/>
  <c r="V43"/>
  <c r="V64"/>
  <c r="V61"/>
  <c r="V17"/>
  <c r="V29"/>
  <c r="V14"/>
  <c r="V73"/>
  <c r="V41"/>
  <c r="V67"/>
  <c r="V22"/>
  <c r="V45"/>
  <c r="V59"/>
  <c r="V18"/>
  <c r="V23"/>
  <c r="V65"/>
  <c r="V46"/>
  <c r="V56"/>
  <c r="V34"/>
  <c r="V27"/>
  <c r="V31"/>
  <c r="V30"/>
  <c r="V74"/>
  <c r="V60"/>
  <c r="V15"/>
</calcChain>
</file>

<file path=xl/sharedStrings.xml><?xml version="1.0" encoding="utf-8"?>
<sst xmlns="http://schemas.openxmlformats.org/spreadsheetml/2006/main" count="476" uniqueCount="257">
  <si>
    <t>#</t>
  </si>
  <si>
    <t>Won</t>
  </si>
  <si>
    <t>Lost</t>
  </si>
  <si>
    <t>Points</t>
  </si>
  <si>
    <t>Win</t>
  </si>
  <si>
    <t>Game # 1</t>
  </si>
  <si>
    <t>Plus</t>
  </si>
  <si>
    <t xml:space="preserve">   Points</t>
  </si>
  <si>
    <t>Game # 4</t>
  </si>
  <si>
    <t>Game # 3</t>
  </si>
  <si>
    <t>Game # 2</t>
  </si>
  <si>
    <t>PW</t>
  </si>
  <si>
    <t>PW+PL</t>
  </si>
  <si>
    <t>PTS</t>
  </si>
  <si>
    <t>POS</t>
  </si>
  <si>
    <t xml:space="preserve">       SKIP</t>
  </si>
  <si>
    <t>game 1</t>
  </si>
  <si>
    <t>game 2</t>
  </si>
  <si>
    <t>game 3</t>
  </si>
  <si>
    <t>game 4</t>
  </si>
  <si>
    <t>total points</t>
  </si>
  <si>
    <t xml:space="preserve">                      Total points won</t>
  </si>
  <si>
    <t xml:space="preserve">                        Total points lost</t>
  </si>
  <si>
    <t xml:space="preserve">                       Total win points</t>
  </si>
  <si>
    <t xml:space="preserve">EVENT SUMMARY           </t>
  </si>
  <si>
    <t>OR  A BYE</t>
  </si>
  <si>
    <t>Team</t>
  </si>
  <si>
    <t>Good</t>
  </si>
  <si>
    <t>3rd Flight</t>
  </si>
  <si>
    <t>4th Flight</t>
  </si>
  <si>
    <t xml:space="preserve">  Your Tournament Name Here</t>
  </si>
  <si>
    <t>Here is what you need to do:</t>
  </si>
  <si>
    <t>average winning/losing score</t>
  </si>
  <si>
    <t>The Spreadsheet is set for 3 Win Pts.</t>
  </si>
  <si>
    <t>a white # in any box in this row indicates an error</t>
  </si>
  <si>
    <r>
      <t xml:space="preserve">               </t>
    </r>
    <r>
      <rPr>
        <sz val="65"/>
        <rFont val="Arial"/>
        <family val="2"/>
      </rPr>
      <t>2019 SCD Mens Pairs</t>
    </r>
  </si>
  <si>
    <t>Rink Assignments may need to be checked</t>
  </si>
  <si>
    <t>RINK</t>
  </si>
  <si>
    <t>loser to201</t>
  </si>
  <si>
    <t>loser to 204</t>
  </si>
  <si>
    <t>loser out</t>
  </si>
  <si>
    <t>challenge</t>
  </si>
  <si>
    <t>loser to 402</t>
  </si>
  <si>
    <t>401       loser out</t>
  </si>
  <si>
    <t>4th fl</t>
  </si>
  <si>
    <t>402       loser out</t>
  </si>
  <si>
    <t>5th Flight</t>
  </si>
  <si>
    <t>loser to 501</t>
  </si>
  <si>
    <t>loser to 502</t>
  </si>
  <si>
    <t>501         loser out</t>
  </si>
  <si>
    <t>5th fl</t>
  </si>
  <si>
    <t>502      loser out</t>
  </si>
  <si>
    <t>6th Flight</t>
  </si>
  <si>
    <t xml:space="preserve">Luke </t>
  </si>
  <si>
    <t>Frazer</t>
  </si>
  <si>
    <t>Fair</t>
  </si>
  <si>
    <t>Downs</t>
  </si>
  <si>
    <t>Wall</t>
  </si>
  <si>
    <t>Enockson</t>
  </si>
  <si>
    <t>White</t>
  </si>
  <si>
    <t>Gary</t>
  </si>
  <si>
    <t>Wright</t>
  </si>
  <si>
    <t>Banares</t>
  </si>
  <si>
    <t>Foley</t>
  </si>
  <si>
    <t>Johnson</t>
  </si>
  <si>
    <t>Cloud</t>
  </si>
  <si>
    <t>Duff</t>
  </si>
  <si>
    <t>Smith</t>
  </si>
  <si>
    <t>Brown</t>
  </si>
  <si>
    <t>Watson</t>
  </si>
  <si>
    <t>Hollingsworth</t>
  </si>
  <si>
    <t>Matyskiela</t>
  </si>
  <si>
    <t>Carson</t>
  </si>
  <si>
    <t>Jones</t>
  </si>
  <si>
    <t>Woods</t>
  </si>
  <si>
    <t>Anast</t>
  </si>
  <si>
    <t>Wagers</t>
  </si>
  <si>
    <t>Ruggles</t>
  </si>
  <si>
    <t>Kidd</t>
  </si>
  <si>
    <t>Roliz</t>
  </si>
  <si>
    <t>Dusablon</t>
  </si>
  <si>
    <t>Broad</t>
  </si>
  <si>
    <t>Birkinshaw</t>
  </si>
  <si>
    <t>Jackson</t>
  </si>
  <si>
    <t>Roth</t>
  </si>
  <si>
    <t>Gardner</t>
  </si>
  <si>
    <t>Wagner</t>
  </si>
  <si>
    <t>Roliz M</t>
  </si>
  <si>
    <t>Covell</t>
  </si>
  <si>
    <t>Strueby</t>
  </si>
  <si>
    <t>Wolterman</t>
  </si>
  <si>
    <t>Fladung</t>
  </si>
  <si>
    <t>Behncke</t>
  </si>
  <si>
    <t>Llewellyn</t>
  </si>
  <si>
    <t>Smalluk</t>
  </si>
  <si>
    <t>Foxhall</t>
  </si>
  <si>
    <t>Douglas</t>
  </si>
  <si>
    <t>Perry</t>
  </si>
  <si>
    <t>Nelson</t>
  </si>
  <si>
    <t>Filipiak</t>
  </si>
  <si>
    <t>Rollick</t>
  </si>
  <si>
    <t>Friedman</t>
  </si>
  <si>
    <t>Duvall</t>
  </si>
  <si>
    <t>VanBastelaere</t>
  </si>
  <si>
    <t>Hitchcock</t>
  </si>
  <si>
    <t>Callum</t>
  </si>
  <si>
    <t>Moss</t>
  </si>
  <si>
    <t>Roney</t>
  </si>
  <si>
    <t>Shaner</t>
  </si>
  <si>
    <t>Adams</t>
  </si>
  <si>
    <t>Herbert</t>
  </si>
  <si>
    <t>Davis</t>
  </si>
  <si>
    <t>Brault</t>
  </si>
  <si>
    <t xml:space="preserve">Bezanson </t>
  </si>
  <si>
    <t>Klubberud</t>
  </si>
  <si>
    <t>Fall</t>
  </si>
  <si>
    <t>Champion</t>
  </si>
  <si>
    <t>winner</t>
  </si>
  <si>
    <t>7th flt 1st</t>
  </si>
  <si>
    <t>7th flt 2nd</t>
  </si>
  <si>
    <t>for each group of 8 here's the bracket</t>
  </si>
  <si>
    <t>dotted lines show the page breaks</t>
  </si>
  <si>
    <t>To see the page breaks better</t>
  </si>
  <si>
    <t>go to VIEW/PAGE BREAK PREVIEW  above</t>
  </si>
  <si>
    <t>Formulas are in all the cells for the team name in the first game</t>
  </si>
  <si>
    <t>When you do a xfer to flights on the scoresheets it places the teams</t>
  </si>
  <si>
    <t>in the proper position on this sheet.</t>
  </si>
  <si>
    <t>Challenge flights allow 2 games minimum for all on last day</t>
  </si>
  <si>
    <t>The sheet is unprotected to allow changes to be made</t>
  </si>
  <si>
    <t>Good Practices</t>
  </si>
  <si>
    <t>Note how in champ flt, each 2nd game uses a rink used from the other half of the bracket</t>
  </si>
  <si>
    <t xml:space="preserve"> the top 4 teams only used 4 rinks for the 1st 2 games, 10,11,14,15. it's easy to find a good rink for champ game and 3rd/4th</t>
  </si>
  <si>
    <t>Put the cursor in a cell for 1 corner of the box</t>
  </si>
  <si>
    <t>while holding the cursor down slide slide your finger to create a box</t>
  </si>
  <si>
    <t>right click format cells/border/none</t>
  </si>
  <si>
    <t>VERY IMPORTANT!</t>
  </si>
  <si>
    <t xml:space="preserve"> If you are using more then 1 GREEN{each green will be a group that only plays each other) separate the score cards by the green. Enter the 1st group(team # 1 to 12 or whatever).</t>
  </si>
  <si>
    <t>If so resolve the problem and continue. A lot of time can be wasted if 2 or more groups are entered before checking for errors.</t>
  </si>
  <si>
    <t>It can be scorecards didn't record the correct score or they didn't get copied on the scoresheet correctly.</t>
  </si>
  <si>
    <t>Hopefully when players drew cards before the start of play, the Team #s were recorded. When someone forgets to put there name on the card you have a way to identify them.</t>
  </si>
  <si>
    <t xml:space="preserve"> If there was a bye, you will need to enter the average score.  Let's say it was 7 to 3. Now at the bottom of that same column enter the same score but enter it  3 to 7. </t>
  </si>
  <si>
    <t xml:space="preserve">           This will make sure the columns both add up equally.</t>
  </si>
  <si>
    <t>loser to 201</t>
  </si>
  <si>
    <t>2nd place</t>
  </si>
  <si>
    <t>loser to 202</t>
  </si>
  <si>
    <t>3rd place</t>
  </si>
  <si>
    <t>4th place</t>
  </si>
  <si>
    <t>201            loser out</t>
  </si>
  <si>
    <t>2nd flight</t>
  </si>
  <si>
    <t>2nd flight 1st</t>
  </si>
  <si>
    <t xml:space="preserve"> 2nd flight 2nd</t>
  </si>
  <si>
    <t>** Use whichever rink neither team has played on</t>
  </si>
  <si>
    <t>202          loser out</t>
  </si>
  <si>
    <t>loser to 301</t>
  </si>
  <si>
    <t>3rd flight 1st</t>
  </si>
  <si>
    <t>3rd flight 2nd</t>
  </si>
  <si>
    <t>loser to 302</t>
  </si>
  <si>
    <t>301      loser out</t>
  </si>
  <si>
    <t>3rd fl</t>
  </si>
  <si>
    <t>302      loser out</t>
  </si>
  <si>
    <t>loser to 401</t>
  </si>
  <si>
    <t>4th fl 1st</t>
  </si>
  <si>
    <t>4th fl 2nd</t>
  </si>
  <si>
    <t>5th fl 1st</t>
  </si>
  <si>
    <t>5th fl 2nd</t>
  </si>
  <si>
    <t>6th fl 1st</t>
  </si>
  <si>
    <t>6th fl 2nd</t>
  </si>
  <si>
    <r>
      <t xml:space="preserve">RINK </t>
    </r>
    <r>
      <rPr>
        <sz val="24"/>
        <color rgb="FFFF0000"/>
        <rFont val="Calibri"/>
        <family val="2"/>
        <scheme val="minor"/>
      </rPr>
      <t>10</t>
    </r>
  </si>
  <si>
    <r>
      <t xml:space="preserve">RINK </t>
    </r>
    <r>
      <rPr>
        <sz val="24"/>
        <color rgb="FFFF0000"/>
        <rFont val="Calibri"/>
        <family val="2"/>
        <scheme val="minor"/>
      </rPr>
      <t>14</t>
    </r>
  </si>
  <si>
    <r>
      <t xml:space="preserve">RINK </t>
    </r>
    <r>
      <rPr>
        <sz val="24"/>
        <color rgb="FFFF0000"/>
        <rFont val="Calibri"/>
        <family val="2"/>
        <scheme val="minor"/>
      </rPr>
      <t>11</t>
    </r>
  </si>
  <si>
    <r>
      <t xml:space="preserve">RINK </t>
    </r>
    <r>
      <rPr>
        <sz val="24"/>
        <color rgb="FFFF0000"/>
        <rFont val="Calibri"/>
        <family val="2"/>
        <scheme val="minor"/>
      </rPr>
      <t>13</t>
    </r>
  </si>
  <si>
    <r>
      <t>RINK</t>
    </r>
    <r>
      <rPr>
        <sz val="24"/>
        <color rgb="FFFF0000"/>
        <rFont val="Calibri"/>
        <family val="2"/>
        <scheme val="minor"/>
      </rPr>
      <t xml:space="preserve"> 10</t>
    </r>
  </si>
  <si>
    <r>
      <t xml:space="preserve">RINK </t>
    </r>
    <r>
      <rPr>
        <sz val="24"/>
        <color rgb="FFFF0000"/>
        <rFont val="Calibri"/>
        <family val="2"/>
        <scheme val="minor"/>
      </rPr>
      <t>15</t>
    </r>
  </si>
  <si>
    <r>
      <t xml:space="preserve">RINK </t>
    </r>
    <r>
      <rPr>
        <sz val="24"/>
        <color rgb="FFFF0000"/>
        <rFont val="Calibri"/>
        <family val="2"/>
        <scheme val="minor"/>
      </rPr>
      <t>12</t>
    </r>
  </si>
  <si>
    <r>
      <rPr>
        <sz val="24"/>
        <color rgb="FFFF0000"/>
        <rFont val="Calibri"/>
        <family val="2"/>
        <scheme val="minor"/>
      </rPr>
      <t xml:space="preserve">** </t>
    </r>
    <r>
      <rPr>
        <sz val="24"/>
        <color theme="1"/>
        <rFont val="Calibri"/>
        <family val="2"/>
        <scheme val="minor"/>
      </rPr>
      <t xml:space="preserve">RINK </t>
    </r>
    <r>
      <rPr>
        <sz val="24"/>
        <color rgb="FFFF0000"/>
        <rFont val="Calibri"/>
        <family val="2"/>
        <scheme val="minor"/>
      </rPr>
      <t>10 or11</t>
    </r>
  </si>
  <si>
    <r>
      <t xml:space="preserve">RINK </t>
    </r>
    <r>
      <rPr>
        <sz val="24"/>
        <color rgb="FFFF0000"/>
        <rFont val="Calibri"/>
        <family val="2"/>
        <scheme val="minor"/>
      </rPr>
      <t>2</t>
    </r>
  </si>
  <si>
    <r>
      <t xml:space="preserve">RINK </t>
    </r>
    <r>
      <rPr>
        <sz val="24"/>
        <color rgb="FFFF0000"/>
        <rFont val="Calibri"/>
        <family val="2"/>
        <scheme val="minor"/>
      </rPr>
      <t>6</t>
    </r>
  </si>
  <si>
    <r>
      <t xml:space="preserve">RINK </t>
    </r>
    <r>
      <rPr>
        <sz val="24"/>
        <color rgb="FFFF0000"/>
        <rFont val="Calibri"/>
        <family val="2"/>
        <scheme val="minor"/>
      </rPr>
      <t>3</t>
    </r>
  </si>
  <si>
    <r>
      <t xml:space="preserve">RINK </t>
    </r>
    <r>
      <rPr>
        <sz val="24"/>
        <color rgb="FFFF0000"/>
        <rFont val="Calibri"/>
        <family val="2"/>
        <scheme val="minor"/>
      </rPr>
      <t>4</t>
    </r>
  </si>
  <si>
    <r>
      <t xml:space="preserve">RINK </t>
    </r>
    <r>
      <rPr>
        <sz val="24"/>
        <color rgb="FFFF0000"/>
        <rFont val="Calibri"/>
        <family val="2"/>
        <scheme val="minor"/>
      </rPr>
      <t>5</t>
    </r>
  </si>
  <si>
    <r>
      <t xml:space="preserve">RINK </t>
    </r>
    <r>
      <rPr>
        <sz val="24"/>
        <color rgb="FFFF0000"/>
        <rFont val="Calibri"/>
        <family val="2"/>
        <scheme val="minor"/>
      </rPr>
      <t>7</t>
    </r>
  </si>
  <si>
    <r>
      <t xml:space="preserve">RINK </t>
    </r>
    <r>
      <rPr>
        <sz val="24"/>
        <color rgb="FFFF0000"/>
        <rFont val="Calibri"/>
        <family val="2"/>
        <scheme val="minor"/>
      </rPr>
      <t>9</t>
    </r>
  </si>
  <si>
    <r>
      <t xml:space="preserve">RINK </t>
    </r>
    <r>
      <rPr>
        <sz val="24"/>
        <color rgb="FFFF0000"/>
        <rFont val="Calibri"/>
        <family val="2"/>
        <scheme val="minor"/>
      </rPr>
      <t>16</t>
    </r>
  </si>
  <si>
    <r>
      <t>RINK</t>
    </r>
    <r>
      <rPr>
        <sz val="24"/>
        <color rgb="FFFF0000"/>
        <rFont val="Calibri"/>
        <family val="2"/>
        <scheme val="minor"/>
      </rPr>
      <t xml:space="preserve"> 14</t>
    </r>
  </si>
  <si>
    <r>
      <t xml:space="preserve">RINK </t>
    </r>
    <r>
      <rPr>
        <sz val="24"/>
        <color rgb="FFFF0000"/>
        <rFont val="Calibri"/>
        <family val="2"/>
        <scheme val="minor"/>
      </rPr>
      <t>1</t>
    </r>
  </si>
  <si>
    <r>
      <t xml:space="preserve">RINK </t>
    </r>
    <r>
      <rPr>
        <sz val="24"/>
        <color rgb="FFFF0000"/>
        <rFont val="Calibri"/>
        <family val="2"/>
        <scheme val="minor"/>
      </rPr>
      <t>8</t>
    </r>
  </si>
  <si>
    <r>
      <t>RINK</t>
    </r>
    <r>
      <rPr>
        <sz val="24"/>
        <color rgb="FFFF0000"/>
        <rFont val="Calibri"/>
        <family val="2"/>
        <scheme val="minor"/>
      </rPr>
      <t xml:space="preserve"> 1</t>
    </r>
  </si>
  <si>
    <t xml:space="preserve">The numbers in the above yellow areas are to be used  when a team has a BYE game in that round. </t>
  </si>
  <si>
    <t>Resolve the problem. Then enter scores for the next green(team 13 to 26 for example). Again see if there's a number in any of the red boxes.</t>
  </si>
  <si>
    <t xml:space="preserve">    Change the rink #s as needed.</t>
  </si>
  <si>
    <t>don't use end rinks for  flights 1, 2 &amp; 3</t>
  </si>
  <si>
    <t>Minimize changing greens for teams</t>
  </si>
  <si>
    <t>Never change the name of the tabs at the bottom because the macros refer to them by that name.</t>
  </si>
  <si>
    <t>Also be careful adding or deleting rows or columns because the macros could get messed up.</t>
  </si>
  <si>
    <t>Any thing else should be ok to add or change.</t>
  </si>
  <si>
    <t xml:space="preserve"> When you save a file do SAVE AS-select your desired folder AND be sure to select at the bottom EXCEL MACRO ENABLED FILE</t>
  </si>
  <si>
    <r>
      <t xml:space="preserve">Click </t>
    </r>
    <r>
      <rPr>
        <b/>
        <sz val="14"/>
        <rFont val="Arial"/>
        <family val="2"/>
      </rPr>
      <t>protec</t>
    </r>
    <r>
      <rPr>
        <sz val="14"/>
        <rFont val="Arial"/>
        <family val="2"/>
      </rPr>
      <t>t and it turns red.</t>
    </r>
  </si>
  <si>
    <r>
      <t xml:space="preserve">Click the </t>
    </r>
    <r>
      <rPr>
        <b/>
        <sz val="14"/>
        <rFont val="Arial"/>
        <family val="2"/>
      </rPr>
      <t>sort team names</t>
    </r>
    <r>
      <rPr>
        <sz val="14"/>
        <rFont val="Arial"/>
        <family val="2"/>
      </rPr>
      <t xml:space="preserve"> macro to put teams in alphabetical order.</t>
    </r>
  </si>
  <si>
    <t>If there is a number in the red cells, there is an error in the scoring, the pts won and lost aren't equal.</t>
  </si>
  <si>
    <t>These scores are ok, but let's put in an error. Change White's score from 58 to 55 in game 1.</t>
  </si>
  <si>
    <t>Notice an error appears  in the red box. In a real situation it would be necessary</t>
  </si>
  <si>
    <t>There would be 3 groups of 10, 12 and 12 teams . Use the draw charts on this website and put each group</t>
  </si>
  <si>
    <t>Scroll down so only Teams 61,62,63 &amp; 64 are shown.</t>
  </si>
  <si>
    <r>
      <t xml:space="preserve">Click the </t>
    </r>
    <r>
      <rPr>
        <b/>
        <sz val="14"/>
        <rFont val="Arial"/>
        <family val="2"/>
      </rPr>
      <t>fill scores</t>
    </r>
    <r>
      <rPr>
        <sz val="14"/>
        <rFont val="Arial"/>
        <family val="2"/>
      </rPr>
      <t xml:space="preserve"> macro to add 64 teams and scores to play with.</t>
    </r>
  </si>
  <si>
    <t>But the program can handle it and doesn't care.</t>
  </si>
  <si>
    <t>This scoresheet is set up for 3 pts for a win and 1 for a tie  &amp; +/- 7 plus points max each game as the 1st tiebreak.</t>
  </si>
  <si>
    <t>It also calculates the fraction pts won/ (pts won +pts lost) as the 2nd tiebreak.</t>
  </si>
  <si>
    <t>The macros "buttons" are the rectangular tabs at the top of the scoresheet.</t>
  </si>
  <si>
    <t xml:space="preserve">Let's say you have 34 teams. Typically that would be 17 rinks on 3 greens. </t>
  </si>
  <si>
    <t>If at any time you think you have a corrupt file, download a fresh copy from the website.</t>
  </si>
  <si>
    <t>Click on the Sh1(bw) tab below.</t>
  </si>
  <si>
    <r>
      <t xml:space="preserve">Make sure the file is saved as </t>
    </r>
    <r>
      <rPr>
        <b/>
        <sz val="14"/>
        <rFont val="Arial"/>
        <family val="2"/>
      </rPr>
      <t>Excel macro-enabled worksbook.</t>
    </r>
  </si>
  <si>
    <t>To check. Go to the colored microsoft symbol in the upper left corner.</t>
  </si>
  <si>
    <r>
      <t xml:space="preserve">Click on </t>
    </r>
    <r>
      <rPr>
        <b/>
        <sz val="14"/>
        <rFont val="Arial"/>
        <family val="2"/>
      </rPr>
      <t>Excel macro-enabled workbook</t>
    </r>
    <r>
      <rPr>
        <sz val="14"/>
        <rFont val="Arial"/>
        <family val="2"/>
      </rPr>
      <t xml:space="preserve"> and save in the folder you have selected above.</t>
    </r>
  </si>
  <si>
    <r>
      <t xml:space="preserve">The scoresheet should always be "protected". </t>
    </r>
    <r>
      <rPr>
        <sz val="14"/>
        <rFont val="Arial"/>
        <family val="2"/>
      </rPr>
      <t>That means certain cells which</t>
    </r>
  </si>
  <si>
    <t>contain formulas can't accidently be changed. Let's try some of them.</t>
  </si>
  <si>
    <t>This is a good time to change the tournament name. The cell is accessable. Type in a name.</t>
  </si>
  <si>
    <t>On the line below the file name it shows</t>
  </si>
  <si>
    <r>
      <rPr>
        <b/>
        <sz val="14"/>
        <rFont val="Arial"/>
        <family val="2"/>
      </rPr>
      <t>save as type</t>
    </r>
    <r>
      <rPr>
        <sz val="14"/>
        <rFont val="Arial"/>
        <family val="2"/>
      </rPr>
      <t xml:space="preserve">- It should indicate </t>
    </r>
    <r>
      <rPr>
        <b/>
        <sz val="14"/>
        <rFont val="Arial"/>
        <family val="2"/>
      </rPr>
      <t>Excel macro-enabled workbook</t>
    </r>
  </si>
  <si>
    <t>If it doesn't, click the down arrow at the right to display all the file type options.</t>
  </si>
  <si>
    <t>Macros are used. Macros let you do a series of strokes with 1 click.</t>
  </si>
  <si>
    <t>The best way to input scores is to use the tab key rather than the enter key to go directly to the next cell.</t>
  </si>
  <si>
    <t>it's necessary to go to the 2nd tiebreak when sorting.</t>
  </si>
  <si>
    <t>It's shown (always rounded off) in the yellow box.</t>
  </si>
  <si>
    <t xml:space="preserve"> the teams have 12 win pts and half have 0. The 1st tiebreak column also shows mostly 7's for plus points.</t>
  </si>
  <si>
    <t>on a different green.  When preparing to record the results, put the score cards in 3 piles 1-10, 11-22 and 23-34.</t>
  </si>
  <si>
    <t>To see how to create the rink assignments for the bracket sheet, download the</t>
  </si>
  <si>
    <t>Teams are also put in the correct position in the bracket for game 1 since formulas are in the bracket cells.</t>
  </si>
  <si>
    <r>
      <rPr>
        <b/>
        <sz val="14"/>
        <rFont val="Arial"/>
        <family val="2"/>
      </rPr>
      <t xml:space="preserve">rink template for flights sheet </t>
    </r>
    <r>
      <rPr>
        <sz val="14"/>
        <rFont val="Arial"/>
        <family val="2"/>
      </rPr>
      <t>file from the website.</t>
    </r>
  </si>
  <si>
    <t>Notice there are no plus pts over 7 and with these fictional scores half</t>
  </si>
  <si>
    <t>So the 2nd tiebreak comes into play. The scores show the program works when</t>
  </si>
  <si>
    <t>Error checking</t>
  </si>
  <si>
    <t>to go through all 64 scores and find the winning and losing scores that don't match.</t>
  </si>
  <si>
    <t>To delete lines in the bracket, highlight a box which has all the lines you want to delete</t>
  </si>
  <si>
    <r>
      <t xml:space="preserve">If you get a warning anytime using a macro, choose </t>
    </r>
    <r>
      <rPr>
        <b/>
        <sz val="36"/>
        <rFont val="Arial"/>
        <family val="2"/>
      </rPr>
      <t>enable macro</t>
    </r>
    <r>
      <rPr>
        <sz val="36"/>
        <rFont val="Arial"/>
        <family val="2"/>
      </rPr>
      <t>.</t>
    </r>
  </si>
  <si>
    <t>If green 1 is  better than green 2, subtract 8 for rinks 9 to 16 and add 8 to rinks 1 to 8</t>
  </si>
  <si>
    <t>This information is available at www.bowlsaz.com</t>
  </si>
  <si>
    <t>Scoresheet exercise(PRINT THIS OUT TO BE EASIER TO FOLLOW)</t>
  </si>
  <si>
    <r>
      <t xml:space="preserve">Click </t>
    </r>
    <r>
      <rPr>
        <b/>
        <sz val="14"/>
        <rFont val="Arial"/>
        <family val="2"/>
      </rPr>
      <t xml:space="preserve">file/save as. </t>
    </r>
    <r>
      <rPr>
        <sz val="14"/>
        <rFont val="Arial"/>
        <family val="2"/>
      </rPr>
      <t>Rename the file test- (for this exercise).</t>
    </r>
  </si>
  <si>
    <t>Now only cells to be used to input data are accessible. All others are protected and can't be altered.</t>
  </si>
  <si>
    <t>Granted 64 teams is not realistic and scores of 64 to 1 aren't either.</t>
  </si>
  <si>
    <t>That's not an easy task for 64 teams- not that you would ever have 64 teams.</t>
  </si>
  <si>
    <t>Each group only plays each other so the pts won and lost must match within a group.</t>
  </si>
  <si>
    <t>If there were any byes, do not enter those scores yet.</t>
  </si>
  <si>
    <t>Input only 1-10 cards 1st. Then check for errors in the red boxes. Find any errors and resolve.</t>
  </si>
  <si>
    <t>Add scores for 11-22. If there are any errors they will be in the 11-22 group. Resolve errors.</t>
  </si>
  <si>
    <t>Add scores for 23-34. If there are any errors they will be in the 23-34 group. Resolve errors.</t>
  </si>
  <si>
    <r>
      <rPr>
        <b/>
        <sz val="14"/>
        <rFont val="Arial"/>
        <family val="2"/>
      </rPr>
      <t>Now to determine any bye scores</t>
    </r>
    <r>
      <rPr>
        <sz val="14"/>
        <rFont val="Arial"/>
        <family val="2"/>
      </rPr>
      <t>. Again scroll down to show only the last 4 teams and the cells below it.</t>
    </r>
  </si>
  <si>
    <t>The bye score for a team is the average winning and average losing score for the round that team had a bye.</t>
  </si>
  <si>
    <t>Add in the bye score in the scoresheet now. An error will now show in the red box but that's ok</t>
  </si>
  <si>
    <r>
      <t>Click</t>
    </r>
    <r>
      <rPr>
        <b/>
        <sz val="14"/>
        <rFont val="Arial"/>
        <family val="2"/>
      </rPr>
      <t xml:space="preserve"> sort team names</t>
    </r>
    <r>
      <rPr>
        <sz val="14"/>
        <rFont val="Arial"/>
        <family val="2"/>
      </rPr>
      <t xml:space="preserve"> macro. Now the teams are ready to sort in the standings.</t>
    </r>
  </si>
  <si>
    <r>
      <t xml:space="preserve">Next click the </t>
    </r>
    <r>
      <rPr>
        <b/>
        <sz val="14"/>
        <rFont val="Arial"/>
        <family val="2"/>
      </rPr>
      <t>sort pts</t>
    </r>
    <r>
      <rPr>
        <sz val="14"/>
        <rFont val="Arial"/>
        <family val="2"/>
      </rPr>
      <t xml:space="preserve"> macro. The=at sorts the teams in order.</t>
    </r>
  </si>
  <si>
    <r>
      <t xml:space="preserve">Click the </t>
    </r>
    <r>
      <rPr>
        <b/>
        <sz val="14"/>
        <rFont val="Arial"/>
        <family val="2"/>
      </rPr>
      <t>transfer 8 team flight</t>
    </r>
    <r>
      <rPr>
        <sz val="14"/>
        <rFont val="Arial"/>
        <family val="2"/>
      </rPr>
      <t xml:space="preserve"> macro. The teams are transferred to the</t>
    </r>
    <r>
      <rPr>
        <b/>
        <sz val="14"/>
        <rFont val="Arial"/>
        <family val="2"/>
      </rPr>
      <t xml:space="preserve"> </t>
    </r>
    <r>
      <rPr>
        <sz val="14"/>
        <rFont val="Arial"/>
        <family val="2"/>
      </rPr>
      <t>flights sheet</t>
    </r>
    <r>
      <rPr>
        <b/>
        <sz val="14"/>
        <rFont val="Arial"/>
        <family val="2"/>
      </rPr>
      <t xml:space="preserve"> </t>
    </r>
    <r>
      <rPr>
        <sz val="14"/>
        <rFont val="Arial"/>
        <family val="2"/>
      </rPr>
      <t>in order in col A.</t>
    </r>
  </si>
  <si>
    <t>Click the 2nd tab from the left at the bottom to see the flight sheet..</t>
  </si>
  <si>
    <r>
      <t>The protect/unprotect Macro button  is green as unprotected when</t>
    </r>
    <r>
      <rPr>
        <b/>
        <sz val="14"/>
        <rFont val="Arial"/>
        <family val="2"/>
      </rPr>
      <t xml:space="preserve"> unprotect</t>
    </r>
    <r>
      <rPr>
        <sz val="14"/>
        <rFont val="Arial"/>
        <family val="2"/>
      </rPr>
      <t xml:space="preserve"> is clicked.</t>
    </r>
  </si>
  <si>
    <t>Sheet needs to be unprotected for clear names macro to work.</t>
  </si>
  <si>
    <t xml:space="preserve"> Use the tab key(not enter) after each entry to go to the next cell. Now check the RED BOXES at the bottom of the spreadsheet. If there is a number there it indicates an error in the numbers.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</si>
</sst>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.0000_);\(0.0000\)"/>
  </numFmts>
  <fonts count="87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72"/>
      <name val="Algerian"/>
      <family val="5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sz val="26"/>
      <name val="Arial"/>
      <family val="2"/>
    </font>
    <font>
      <sz val="36"/>
      <name val="Arial"/>
      <family val="2"/>
    </font>
    <font>
      <sz val="32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sz val="36"/>
      <color indexed="10"/>
      <name val="Arial"/>
      <family val="2"/>
    </font>
    <font>
      <b/>
      <sz val="36"/>
      <name val="Arial"/>
      <family val="2"/>
    </font>
    <font>
      <sz val="14"/>
      <name val="Arial"/>
      <family val="2"/>
    </font>
    <font>
      <sz val="28"/>
      <name val="Arial"/>
      <family val="2"/>
    </font>
    <font>
      <sz val="28"/>
      <name val="Arial"/>
      <family val="2"/>
    </font>
    <font>
      <b/>
      <sz val="22"/>
      <color indexed="10"/>
      <name val="Arial"/>
      <family val="2"/>
    </font>
    <font>
      <b/>
      <sz val="20"/>
      <color indexed="12"/>
      <name val="Arial"/>
      <family val="2"/>
    </font>
    <font>
      <b/>
      <sz val="20"/>
      <name val="Arial"/>
      <family val="2"/>
    </font>
    <font>
      <b/>
      <sz val="20"/>
      <color indexed="61"/>
      <name val="Arial"/>
      <family val="2"/>
    </font>
    <font>
      <b/>
      <sz val="20"/>
      <color indexed="53"/>
      <name val="Arial"/>
      <family val="2"/>
    </font>
    <font>
      <sz val="18"/>
      <name val="Arial"/>
      <family val="2"/>
    </font>
    <font>
      <b/>
      <u/>
      <sz val="20"/>
      <name val="Arial"/>
      <family val="2"/>
    </font>
    <font>
      <b/>
      <sz val="10"/>
      <name val="Arial"/>
      <family val="2"/>
    </font>
    <font>
      <b/>
      <sz val="28"/>
      <name val="Arial"/>
      <family val="2"/>
    </font>
    <font>
      <b/>
      <sz val="18"/>
      <name val="Arial"/>
      <family val="2"/>
    </font>
    <font>
      <sz val="24"/>
      <name val="Arial"/>
      <family val="2"/>
    </font>
    <font>
      <sz val="16"/>
      <name val="Arial"/>
      <family val="2"/>
    </font>
    <font>
      <b/>
      <sz val="20"/>
      <color indexed="10"/>
      <name val="Arial"/>
      <family val="2"/>
    </font>
    <font>
      <b/>
      <sz val="24"/>
      <name val="Arial"/>
      <family val="2"/>
    </font>
    <font>
      <sz val="28"/>
      <color indexed="8"/>
      <name val="Arial"/>
      <family val="2"/>
    </font>
    <font>
      <sz val="28"/>
      <color indexed="10"/>
      <name val="Arial"/>
      <family val="2"/>
    </font>
    <font>
      <b/>
      <sz val="16"/>
      <name val="Arial"/>
      <family val="2"/>
    </font>
    <font>
      <b/>
      <sz val="26"/>
      <color rgb="FFFF0000"/>
      <name val="Arial"/>
      <family val="2"/>
    </font>
    <font>
      <b/>
      <sz val="20"/>
      <color rgb="FFFF0000"/>
      <name val="Arial"/>
      <family val="2"/>
    </font>
    <font>
      <b/>
      <sz val="16"/>
      <color rgb="FF00CC00"/>
      <name val="Arial"/>
      <family val="2"/>
    </font>
    <font>
      <sz val="28"/>
      <color theme="1"/>
      <name val="Arial"/>
      <family val="2"/>
    </font>
    <font>
      <b/>
      <sz val="20"/>
      <color theme="1"/>
      <name val="Arial"/>
      <family val="2"/>
    </font>
    <font>
      <b/>
      <sz val="24"/>
      <color rgb="FFFF0000"/>
      <name val="Arial"/>
      <family val="2"/>
    </font>
    <font>
      <b/>
      <sz val="28"/>
      <color rgb="FFFF0000"/>
      <name val="Arial"/>
      <family val="2"/>
    </font>
    <font>
      <b/>
      <sz val="18"/>
      <color indexed="10"/>
      <name val="Arial"/>
      <family val="2"/>
    </font>
    <font>
      <sz val="36"/>
      <color theme="1"/>
      <name val="Algerian"/>
      <family val="5"/>
    </font>
    <font>
      <u/>
      <sz val="10"/>
      <color indexed="12"/>
      <name val="Arial"/>
      <family val="2"/>
    </font>
    <font>
      <sz val="10"/>
      <color rgb="FFFF0000"/>
      <name val="Arial"/>
      <family val="2"/>
    </font>
    <font>
      <sz val="28"/>
      <color rgb="FFFF0000"/>
      <name val="Arial"/>
      <family val="2"/>
    </font>
    <font>
      <sz val="14"/>
      <color theme="1"/>
      <name val="Arial"/>
      <family val="2"/>
    </font>
    <font>
      <b/>
      <sz val="14"/>
      <color rgb="FFFF0000"/>
      <name val="Arial"/>
      <family val="2"/>
    </font>
    <font>
      <u/>
      <sz val="9"/>
      <color theme="10"/>
      <name val="Arial"/>
      <family val="2"/>
    </font>
    <font>
      <sz val="65"/>
      <name val="Algerian"/>
      <family val="5"/>
    </font>
    <font>
      <sz val="22"/>
      <color rgb="FFFF0000"/>
      <name val="Arial"/>
      <family val="2"/>
    </font>
    <font>
      <b/>
      <sz val="22"/>
      <color rgb="FFFF0000"/>
      <name val="Arial"/>
      <family val="2"/>
    </font>
    <font>
      <sz val="36"/>
      <color theme="0"/>
      <name val="Arial"/>
      <family val="2"/>
    </font>
    <font>
      <b/>
      <sz val="22"/>
      <color rgb="FF0000FF"/>
      <name val="Arial"/>
      <family val="2"/>
    </font>
    <font>
      <b/>
      <u/>
      <sz val="22"/>
      <name val="Arial"/>
      <family val="2"/>
    </font>
    <font>
      <b/>
      <sz val="26"/>
      <color indexed="10"/>
      <name val="Arial"/>
      <family val="2"/>
    </font>
    <font>
      <i/>
      <u/>
      <sz val="14"/>
      <name val="Arial"/>
      <family val="2"/>
    </font>
    <font>
      <sz val="22"/>
      <color indexed="12"/>
      <name val="Arial"/>
      <family val="2"/>
    </font>
    <font>
      <sz val="22"/>
      <color indexed="10"/>
      <name val="Arial"/>
      <family val="2"/>
    </font>
    <font>
      <sz val="22"/>
      <color indexed="48"/>
      <name val="Arial"/>
      <family val="2"/>
    </font>
    <font>
      <b/>
      <sz val="22"/>
      <color indexed="12"/>
      <name val="Arial"/>
      <family val="2"/>
    </font>
    <font>
      <sz val="22"/>
      <color indexed="15"/>
      <name val="Arial"/>
      <family val="2"/>
    </font>
    <font>
      <sz val="22"/>
      <color theme="1"/>
      <name val="Arial"/>
      <family val="2"/>
    </font>
    <font>
      <sz val="22"/>
      <color indexed="8"/>
      <name val="Arial"/>
      <family val="2"/>
    </font>
    <font>
      <sz val="22"/>
      <color rgb="FF002060"/>
      <name val="Arial"/>
      <family val="2"/>
    </font>
    <font>
      <sz val="22"/>
      <color indexed="46"/>
      <name val="Arial"/>
      <family val="2"/>
    </font>
    <font>
      <b/>
      <sz val="14"/>
      <name val="Arial"/>
      <family val="2"/>
    </font>
    <font>
      <sz val="10"/>
      <color rgb="FF000000"/>
      <name val="Arial"/>
      <family val="2"/>
    </font>
    <font>
      <sz val="14"/>
      <color rgb="FFFF0000"/>
      <name val="Arial"/>
      <family val="2"/>
    </font>
    <font>
      <sz val="14"/>
      <color rgb="FF000000"/>
      <name val="Arial"/>
      <family val="2"/>
    </font>
    <font>
      <sz val="20"/>
      <color rgb="FFFF0000"/>
      <name val="Arial"/>
      <family val="2"/>
    </font>
    <font>
      <sz val="65"/>
      <name val="Arial"/>
      <family val="2"/>
    </font>
    <font>
      <b/>
      <sz val="23"/>
      <name val="Arial"/>
      <family val="2"/>
    </font>
    <font>
      <b/>
      <sz val="23"/>
      <color rgb="FFFF0000"/>
      <name val="Arial"/>
      <family val="2"/>
    </font>
    <font>
      <b/>
      <sz val="16"/>
      <color indexed="12"/>
      <name val="Arial"/>
      <family val="2"/>
    </font>
    <font>
      <b/>
      <sz val="26"/>
      <name val="Arial"/>
      <family val="2"/>
    </font>
    <font>
      <sz val="24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0000FF"/>
      <name val="Arial"/>
      <family val="2"/>
    </font>
    <font>
      <b/>
      <sz val="10"/>
      <color rgb="FF0000FF"/>
      <name val="Arial"/>
      <family val="2"/>
    </font>
    <font>
      <sz val="36"/>
      <color theme="1"/>
      <name val="Calibri"/>
      <family val="2"/>
      <scheme val="minor"/>
    </font>
    <font>
      <b/>
      <sz val="36"/>
      <color indexed="12"/>
      <name val="Arial"/>
      <family val="2"/>
    </font>
    <font>
      <b/>
      <u/>
      <sz val="36"/>
      <color theme="1"/>
      <name val="Calibri"/>
      <family val="2"/>
      <scheme val="minor"/>
    </font>
    <font>
      <sz val="36"/>
      <color indexed="8"/>
      <name val="Arial"/>
      <family val="2"/>
    </font>
    <font>
      <sz val="36"/>
      <color indexed="1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DFB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DEA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000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double">
        <color indexed="64"/>
      </left>
      <right/>
      <top/>
      <bottom style="thick">
        <color indexed="64"/>
      </bottom>
      <diagonal/>
    </border>
    <border>
      <left/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/>
      <top style="thick">
        <color indexed="64"/>
      </top>
      <bottom/>
      <diagonal/>
    </border>
    <border>
      <left/>
      <right style="double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double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double">
        <color indexed="64"/>
      </right>
      <top style="dashDot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/>
      <bottom style="dashDot">
        <color indexed="64"/>
      </bottom>
      <diagonal/>
    </border>
    <border>
      <left style="dashDot">
        <color indexed="64"/>
      </left>
      <right style="double">
        <color indexed="64"/>
      </right>
      <top/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ashDot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double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/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/>
      <diagonal/>
    </border>
    <border>
      <left style="dashDot">
        <color indexed="64"/>
      </left>
      <right style="double">
        <color indexed="64"/>
      </right>
      <top style="dashDot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8">
    <xf numFmtId="0" fontId="0" fillId="0" borderId="0"/>
    <xf numFmtId="0" fontId="2" fillId="0" borderId="0"/>
    <xf numFmtId="0" fontId="43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67" fillId="0" borderId="0"/>
  </cellStyleXfs>
  <cellXfs count="525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/>
    </xf>
    <xf numFmtId="0" fontId="6" fillId="4" borderId="0" xfId="0" applyFont="1" applyFill="1"/>
    <xf numFmtId="0" fontId="6" fillId="4" borderId="0" xfId="0" applyFont="1" applyFill="1" applyAlignment="1">
      <alignment horizontal="center"/>
    </xf>
    <xf numFmtId="0" fontId="15" fillId="4" borderId="0" xfId="0" applyFont="1" applyFill="1" applyBorder="1" applyAlignment="1" applyProtection="1">
      <alignment horizontal="center"/>
      <protection locked="0"/>
    </xf>
    <xf numFmtId="0" fontId="0" fillId="4" borderId="0" xfId="0" applyFill="1" applyProtection="1"/>
    <xf numFmtId="1" fontId="12" fillId="4" borderId="0" xfId="0" applyNumberFormat="1" applyFont="1" applyFill="1" applyBorder="1" applyAlignment="1" applyProtection="1">
      <alignment horizontal="center"/>
    </xf>
    <xf numFmtId="0" fontId="29" fillId="4" borderId="0" xfId="0" applyFont="1" applyFill="1"/>
    <xf numFmtId="0" fontId="6" fillId="4" borderId="10" xfId="0" applyFont="1" applyFill="1" applyBorder="1"/>
    <xf numFmtId="0" fontId="6" fillId="4" borderId="11" xfId="0" applyFont="1" applyFill="1" applyBorder="1"/>
    <xf numFmtId="0" fontId="6" fillId="4" borderId="11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0" fontId="18" fillId="4" borderId="0" xfId="0" applyFont="1" applyFill="1"/>
    <xf numFmtId="0" fontId="18" fillId="4" borderId="11" xfId="0" applyFont="1" applyFill="1" applyBorder="1"/>
    <xf numFmtId="0" fontId="18" fillId="4" borderId="11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19" fillId="4" borderId="10" xfId="0" applyFont="1" applyFill="1" applyBorder="1"/>
    <xf numFmtId="0" fontId="19" fillId="4" borderId="0" xfId="0" applyFont="1" applyFill="1"/>
    <xf numFmtId="0" fontId="6" fillId="4" borderId="0" xfId="0" applyFont="1" applyFill="1" applyAlignment="1">
      <alignment horizontal="centerContinuous"/>
    </xf>
    <xf numFmtId="0" fontId="20" fillId="4" borderId="12" xfId="0" applyFont="1" applyFill="1" applyBorder="1" applyAlignment="1">
      <alignment horizontal="center"/>
    </xf>
    <xf numFmtId="0" fontId="20" fillId="4" borderId="13" xfId="0" applyFont="1" applyFill="1" applyBorder="1"/>
    <xf numFmtId="0" fontId="20" fillId="4" borderId="0" xfId="0" applyFont="1" applyFill="1" applyBorder="1"/>
    <xf numFmtId="0" fontId="20" fillId="4" borderId="11" xfId="0" applyFont="1" applyFill="1" applyBorder="1"/>
    <xf numFmtId="0" fontId="20" fillId="4" borderId="14" xfId="0" applyFont="1" applyFill="1" applyBorder="1" applyAlignment="1">
      <alignment horizontal="center"/>
    </xf>
    <xf numFmtId="0" fontId="20" fillId="4" borderId="13" xfId="0" applyFont="1" applyFill="1" applyBorder="1" applyAlignment="1">
      <alignment horizontal="center"/>
    </xf>
    <xf numFmtId="0" fontId="20" fillId="4" borderId="0" xfId="0" applyFont="1" applyFill="1" applyBorder="1" applyAlignment="1">
      <alignment horizontal="center"/>
    </xf>
    <xf numFmtId="0" fontId="20" fillId="4" borderId="11" xfId="0" applyFont="1" applyFill="1" applyBorder="1" applyAlignment="1">
      <alignment horizontal="center"/>
    </xf>
    <xf numFmtId="0" fontId="6" fillId="4" borderId="0" xfId="0" applyFont="1" applyFill="1" applyBorder="1"/>
    <xf numFmtId="0" fontId="20" fillId="4" borderId="12" xfId="0" applyFont="1" applyFill="1" applyBorder="1"/>
    <xf numFmtId="0" fontId="19" fillId="4" borderId="15" xfId="0" applyFont="1" applyFill="1" applyBorder="1"/>
    <xf numFmtId="0" fontId="19" fillId="4" borderId="16" xfId="0" applyFont="1" applyFill="1" applyBorder="1"/>
    <xf numFmtId="0" fontId="21" fillId="4" borderId="17" xfId="0" applyFont="1" applyFill="1" applyBorder="1" applyAlignment="1">
      <alignment horizontal="center"/>
    </xf>
    <xf numFmtId="0" fontId="21" fillId="4" borderId="18" xfId="0" applyFont="1" applyFill="1" applyBorder="1"/>
    <xf numFmtId="0" fontId="21" fillId="4" borderId="19" xfId="0" applyFont="1" applyFill="1" applyBorder="1" applyAlignment="1">
      <alignment horizontal="center"/>
    </xf>
    <xf numFmtId="0" fontId="21" fillId="4" borderId="16" xfId="0" applyFont="1" applyFill="1" applyBorder="1" applyAlignment="1">
      <alignment horizontal="center"/>
    </xf>
    <xf numFmtId="0" fontId="21" fillId="4" borderId="18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0" fontId="14" fillId="4" borderId="0" xfId="0" applyFont="1" applyFill="1"/>
    <xf numFmtId="0" fontId="14" fillId="4" borderId="0" xfId="0" applyFont="1" applyFill="1" applyBorder="1"/>
    <xf numFmtId="0" fontId="14" fillId="4" borderId="0" xfId="0" applyFont="1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Border="1" applyAlignment="1" applyProtection="1">
      <alignment horizontal="center"/>
    </xf>
    <xf numFmtId="0" fontId="15" fillId="4" borderId="0" xfId="0" applyFont="1" applyFill="1" applyProtection="1"/>
    <xf numFmtId="0" fontId="15" fillId="4" borderId="2" xfId="0" applyFont="1" applyFill="1" applyBorder="1" applyAlignment="1" applyProtection="1">
      <alignment horizontal="center"/>
    </xf>
    <xf numFmtId="0" fontId="15" fillId="4" borderId="0" xfId="0" applyFont="1" applyFill="1" applyAlignment="1" applyProtection="1">
      <alignment horizontal="center"/>
    </xf>
    <xf numFmtId="0" fontId="15" fillId="4" borderId="0" xfId="0" applyFont="1" applyFill="1" applyBorder="1" applyProtection="1"/>
    <xf numFmtId="0" fontId="15" fillId="4" borderId="4" xfId="0" applyFont="1" applyFill="1" applyBorder="1" applyAlignment="1" applyProtection="1">
      <alignment horizontal="center"/>
    </xf>
    <xf numFmtId="0" fontId="15" fillId="4" borderId="7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15" fillId="4" borderId="1" xfId="0" applyFont="1" applyFill="1" applyBorder="1" applyAlignment="1" applyProtection="1">
      <alignment horizontal="center"/>
    </xf>
    <xf numFmtId="0" fontId="15" fillId="4" borderId="1" xfId="0" applyFont="1" applyFill="1" applyBorder="1" applyProtection="1"/>
    <xf numFmtId="0" fontId="15" fillId="4" borderId="5" xfId="0" applyFont="1" applyFill="1" applyBorder="1" applyAlignment="1" applyProtection="1">
      <alignment horizontal="center"/>
    </xf>
    <xf numFmtId="0" fontId="15" fillId="4" borderId="3" xfId="0" applyFont="1" applyFill="1" applyBorder="1" applyAlignment="1" applyProtection="1">
      <alignment horizontal="center"/>
    </xf>
    <xf numFmtId="0" fontId="15" fillId="4" borderId="5" xfId="0" applyFont="1" applyFill="1" applyBorder="1" applyProtection="1"/>
    <xf numFmtId="0" fontId="5" fillId="4" borderId="0" xfId="0" applyFont="1" applyFill="1"/>
    <xf numFmtId="0" fontId="5" fillId="4" borderId="0" xfId="0" applyFont="1" applyFill="1" applyAlignment="1">
      <alignment horizontal="center"/>
    </xf>
    <xf numFmtId="0" fontId="24" fillId="4" borderId="0" xfId="0" applyFont="1" applyFill="1"/>
    <xf numFmtId="0" fontId="33" fillId="4" borderId="0" xfId="0" applyFont="1" applyFill="1"/>
    <xf numFmtId="0" fontId="33" fillId="4" borderId="0" xfId="0" applyFont="1" applyFill="1" applyBorder="1"/>
    <xf numFmtId="1" fontId="32" fillId="4" borderId="9" xfId="0" applyNumberFormat="1" applyFont="1" applyFill="1" applyBorder="1" applyAlignment="1">
      <alignment horizontal="center"/>
    </xf>
    <xf numFmtId="0" fontId="33" fillId="4" borderId="21" xfId="0" applyFont="1" applyFill="1" applyBorder="1" applyAlignment="1">
      <alignment horizontal="center"/>
    </xf>
    <xf numFmtId="0" fontId="5" fillId="4" borderId="0" xfId="0" applyFont="1" applyFill="1" applyBorder="1"/>
    <xf numFmtId="0" fontId="5" fillId="4" borderId="4" xfId="0" applyFont="1" applyFill="1" applyBorder="1" applyAlignment="1" applyProtection="1">
      <alignment horizontal="center"/>
    </xf>
    <xf numFmtId="0" fontId="5" fillId="4" borderId="1" xfId="0" applyFont="1" applyFill="1" applyBorder="1"/>
    <xf numFmtId="0" fontId="5" fillId="4" borderId="2" xfId="0" applyFont="1" applyFill="1" applyBorder="1" applyAlignment="1" applyProtection="1">
      <alignment horizontal="center"/>
    </xf>
    <xf numFmtId="0" fontId="5" fillId="4" borderId="0" xfId="0" applyFont="1" applyFill="1" applyAlignment="1" applyProtection="1">
      <alignment horizontal="center"/>
    </xf>
    <xf numFmtId="0" fontId="5" fillId="4" borderId="0" xfId="0" applyFont="1" applyFill="1" applyBorder="1" applyAlignment="1" applyProtection="1">
      <alignment horizontal="center"/>
    </xf>
    <xf numFmtId="0" fontId="5" fillId="4" borderId="7" xfId="0" applyFont="1" applyFill="1" applyBorder="1" applyAlignment="1" applyProtection="1">
      <alignment horizontal="center"/>
    </xf>
    <xf numFmtId="0" fontId="5" fillId="4" borderId="1" xfId="0" applyFont="1" applyFill="1" applyBorder="1" applyProtection="1"/>
    <xf numFmtId="0" fontId="5" fillId="4" borderId="5" xfId="0" applyFont="1" applyFill="1" applyBorder="1" applyAlignment="1" applyProtection="1">
      <alignment horizontal="center"/>
    </xf>
    <xf numFmtId="0" fontId="5" fillId="4" borderId="1" xfId="0" applyFont="1" applyFill="1" applyBorder="1" applyAlignment="1" applyProtection="1">
      <alignment horizontal="center"/>
    </xf>
    <xf numFmtId="0" fontId="30" fillId="4" borderId="0" xfId="0" applyFont="1" applyFill="1"/>
    <xf numFmtId="0" fontId="30" fillId="4" borderId="0" xfId="0" applyFont="1" applyFill="1" applyBorder="1"/>
    <xf numFmtId="0" fontId="30" fillId="4" borderId="0" xfId="0" applyFont="1" applyFill="1" applyBorder="1" applyAlignment="1">
      <alignment horizontal="center"/>
    </xf>
    <xf numFmtId="0" fontId="30" fillId="4" borderId="1" xfId="0" applyFont="1" applyFill="1" applyBorder="1"/>
    <xf numFmtId="0" fontId="30" fillId="4" borderId="0" xfId="0" applyFont="1" applyFill="1" applyProtection="1"/>
    <xf numFmtId="0" fontId="30" fillId="4" borderId="4" xfId="0" applyFont="1" applyFill="1" applyBorder="1" applyProtection="1"/>
    <xf numFmtId="0" fontId="30" fillId="4" borderId="0" xfId="0" applyFont="1" applyFill="1" applyBorder="1" applyProtection="1"/>
    <xf numFmtId="0" fontId="30" fillId="4" borderId="1" xfId="0" applyFont="1" applyFill="1" applyBorder="1" applyProtection="1"/>
    <xf numFmtId="0" fontId="30" fillId="4" borderId="6" xfId="0" applyFont="1" applyFill="1" applyBorder="1" applyProtection="1"/>
    <xf numFmtId="0" fontId="30" fillId="4" borderId="3" xfId="0" applyFont="1" applyFill="1" applyBorder="1" applyProtection="1"/>
    <xf numFmtId="0" fontId="30" fillId="4" borderId="8" xfId="0" applyFont="1" applyFill="1" applyBorder="1" applyProtection="1"/>
    <xf numFmtId="0" fontId="15" fillId="5" borderId="29" xfId="0" applyFont="1" applyFill="1" applyBorder="1" applyAlignment="1" applyProtection="1">
      <alignment horizontal="center"/>
    </xf>
    <xf numFmtId="0" fontId="15" fillId="5" borderId="30" xfId="0" applyFont="1" applyFill="1" applyBorder="1" applyAlignment="1" applyProtection="1">
      <alignment horizontal="center"/>
    </xf>
    <xf numFmtId="0" fontId="15" fillId="5" borderId="31" xfId="0" applyFont="1" applyFill="1" applyBorder="1" applyAlignment="1" applyProtection="1">
      <alignment horizontal="center"/>
    </xf>
    <xf numFmtId="0" fontId="15" fillId="5" borderId="32" xfId="0" applyFont="1" applyFill="1" applyBorder="1" applyAlignment="1" applyProtection="1">
      <alignment horizontal="center"/>
    </xf>
    <xf numFmtId="0" fontId="28" fillId="4" borderId="0" xfId="0" applyFont="1" applyFill="1" applyAlignment="1">
      <alignment vertical="top"/>
    </xf>
    <xf numFmtId="0" fontId="28" fillId="4" borderId="0" xfId="0" applyFont="1" applyFill="1" applyAlignment="1">
      <alignment vertical="center"/>
    </xf>
    <xf numFmtId="0" fontId="15" fillId="5" borderId="35" xfId="0" applyFont="1" applyFill="1" applyBorder="1" applyAlignment="1" applyProtection="1">
      <alignment horizontal="center"/>
    </xf>
    <xf numFmtId="0" fontId="15" fillId="5" borderId="36" xfId="0" applyFont="1" applyFill="1" applyBorder="1" applyAlignment="1" applyProtection="1">
      <alignment horizontal="center"/>
    </xf>
    <xf numFmtId="0" fontId="33" fillId="4" borderId="28" xfId="0" applyFont="1" applyFill="1" applyBorder="1" applyAlignment="1">
      <alignment horizontal="center"/>
    </xf>
    <xf numFmtId="0" fontId="30" fillId="6" borderId="0" xfId="0" applyFont="1" applyFill="1" applyBorder="1"/>
    <xf numFmtId="0" fontId="5" fillId="6" borderId="0" xfId="0" applyFont="1" applyFill="1" applyBorder="1"/>
    <xf numFmtId="0" fontId="0" fillId="4" borderId="0" xfId="0" applyFill="1" applyAlignment="1">
      <alignment horizontal="left" vertical="center"/>
    </xf>
    <xf numFmtId="0" fontId="28" fillId="7" borderId="0" xfId="0" applyFont="1" applyFill="1" applyAlignment="1">
      <alignment vertical="center"/>
    </xf>
    <xf numFmtId="0" fontId="28" fillId="7" borderId="0" xfId="0" applyFont="1" applyFill="1" applyAlignment="1">
      <alignment vertical="top"/>
    </xf>
    <xf numFmtId="0" fontId="27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27" fillId="7" borderId="0" xfId="0" applyFont="1" applyFill="1" applyAlignment="1">
      <alignment vertical="top"/>
    </xf>
    <xf numFmtId="0" fontId="6" fillId="7" borderId="0" xfId="0" applyFont="1" applyFill="1" applyAlignment="1">
      <alignment vertical="top"/>
    </xf>
    <xf numFmtId="0" fontId="2" fillId="7" borderId="0" xfId="0" applyFont="1" applyFill="1" applyBorder="1"/>
    <xf numFmtId="0" fontId="27" fillId="7" borderId="0" xfId="0" applyFont="1" applyFill="1" applyBorder="1"/>
    <xf numFmtId="0" fontId="6" fillId="7" borderId="0" xfId="0" applyFont="1" applyFill="1" applyBorder="1"/>
    <xf numFmtId="0" fontId="0" fillId="6" borderId="0" xfId="0" applyFill="1" applyBorder="1"/>
    <xf numFmtId="0" fontId="0" fillId="6" borderId="25" xfId="0" applyFill="1" applyBorder="1" applyAlignment="1">
      <alignment horizontal="left" vertical="center"/>
    </xf>
    <xf numFmtId="0" fontId="5" fillId="6" borderId="37" xfId="0" applyFont="1" applyFill="1" applyBorder="1" applyAlignment="1">
      <alignment horizontal="left" vertical="center"/>
    </xf>
    <xf numFmtId="0" fontId="5" fillId="6" borderId="40" xfId="0" applyFont="1" applyFill="1" applyBorder="1"/>
    <xf numFmtId="0" fontId="5" fillId="6" borderId="0" xfId="0" applyFont="1" applyFill="1" applyBorder="1" applyAlignment="1">
      <alignment horizontal="left"/>
    </xf>
    <xf numFmtId="0" fontId="6" fillId="6" borderId="0" xfId="0" applyFont="1" applyFill="1" applyBorder="1"/>
    <xf numFmtId="0" fontId="6" fillId="6" borderId="0" xfId="0" applyFont="1" applyFill="1" applyBorder="1" applyAlignment="1">
      <alignment horizontal="center"/>
    </xf>
    <xf numFmtId="0" fontId="33" fillId="4" borderId="2" xfId="0" applyFont="1" applyFill="1" applyBorder="1" applyAlignment="1">
      <alignment horizontal="centerContinuous"/>
    </xf>
    <xf numFmtId="0" fontId="33" fillId="4" borderId="0" xfId="0" applyFont="1" applyFill="1" applyBorder="1" applyAlignment="1">
      <alignment horizontal="centerContinuous"/>
    </xf>
    <xf numFmtId="0" fontId="33" fillId="4" borderId="0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4" borderId="25" xfId="0" applyFont="1" applyFill="1" applyBorder="1" applyAlignment="1">
      <alignment horizontal="left"/>
    </xf>
    <xf numFmtId="0" fontId="10" fillId="4" borderId="25" xfId="0" applyFont="1" applyFill="1" applyBorder="1" applyAlignment="1">
      <alignment horizontal="left"/>
    </xf>
    <xf numFmtId="0" fontId="30" fillId="4" borderId="25" xfId="0" applyFont="1" applyFill="1" applyBorder="1" applyAlignment="1">
      <alignment horizontal="left"/>
    </xf>
    <xf numFmtId="0" fontId="33" fillId="4" borderId="39" xfId="0" applyFont="1" applyFill="1" applyBorder="1"/>
    <xf numFmtId="0" fontId="5" fillId="4" borderId="40" xfId="0" applyFont="1" applyFill="1" applyBorder="1" applyAlignment="1">
      <alignment horizontal="center"/>
    </xf>
    <xf numFmtId="0" fontId="33" fillId="4" borderId="21" xfId="0" applyFont="1" applyFill="1" applyBorder="1"/>
    <xf numFmtId="0" fontId="10" fillId="4" borderId="41" xfId="0" applyFont="1" applyFill="1" applyBorder="1" applyAlignment="1">
      <alignment horizontal="left"/>
    </xf>
    <xf numFmtId="0" fontId="33" fillId="4" borderId="3" xfId="0" applyFont="1" applyFill="1" applyBorder="1" applyAlignment="1">
      <alignment horizontal="center"/>
    </xf>
    <xf numFmtId="0" fontId="33" fillId="4" borderId="23" xfId="0" applyFont="1" applyFill="1" applyBorder="1" applyAlignment="1">
      <alignment horizontal="center"/>
    </xf>
    <xf numFmtId="0" fontId="33" fillId="4" borderId="3" xfId="0" applyFont="1" applyFill="1" applyBorder="1" applyAlignment="1">
      <alignment horizontal="centerContinuous"/>
    </xf>
    <xf numFmtId="0" fontId="0" fillId="6" borderId="24" xfId="0" applyFill="1" applyBorder="1" applyAlignment="1">
      <alignment horizontal="left" vertical="center"/>
    </xf>
    <xf numFmtId="0" fontId="30" fillId="6" borderId="25" xfId="0" applyFont="1" applyFill="1" applyBorder="1" applyAlignment="1">
      <alignment horizontal="left" vertical="center"/>
    </xf>
    <xf numFmtId="0" fontId="5" fillId="6" borderId="25" xfId="0" applyFont="1" applyFill="1" applyBorder="1" applyAlignment="1">
      <alignment horizontal="left" vertical="center"/>
    </xf>
    <xf numFmtId="0" fontId="0" fillId="6" borderId="39" xfId="0" applyFill="1" applyBorder="1"/>
    <xf numFmtId="0" fontId="5" fillId="6" borderId="39" xfId="0" applyFont="1" applyFill="1" applyBorder="1" applyAlignment="1">
      <alignment horizontal="left"/>
    </xf>
    <xf numFmtId="0" fontId="5" fillId="6" borderId="27" xfId="0" applyFont="1" applyFill="1" applyBorder="1" applyAlignment="1">
      <alignment horizontal="left"/>
    </xf>
    <xf numFmtId="0" fontId="16" fillId="6" borderId="21" xfId="0" applyFont="1" applyFill="1" applyBorder="1" applyAlignment="1">
      <alignment horizontal="centerContinuous"/>
    </xf>
    <xf numFmtId="0" fontId="0" fillId="6" borderId="21" xfId="0" applyFill="1" applyBorder="1" applyAlignment="1">
      <alignment horizontal="center"/>
    </xf>
    <xf numFmtId="0" fontId="10" fillId="6" borderId="21" xfId="0" applyFont="1" applyFill="1" applyBorder="1"/>
    <xf numFmtId="0" fontId="30" fillId="6" borderId="21" xfId="0" applyFont="1" applyFill="1" applyBorder="1"/>
    <xf numFmtId="0" fontId="5" fillId="6" borderId="21" xfId="0" applyFont="1" applyFill="1" applyBorder="1"/>
    <xf numFmtId="0" fontId="5" fillId="6" borderId="38" xfId="0" applyFont="1" applyFill="1" applyBorder="1"/>
    <xf numFmtId="0" fontId="36" fillId="4" borderId="27" xfId="0" applyFont="1" applyFill="1" applyBorder="1"/>
    <xf numFmtId="0" fontId="22" fillId="4" borderId="0" xfId="0" applyFont="1" applyFill="1" applyAlignment="1">
      <alignment vertical="center"/>
    </xf>
    <xf numFmtId="0" fontId="22" fillId="4" borderId="0" xfId="0" applyFont="1" applyFill="1" applyAlignment="1">
      <alignment vertical="top"/>
    </xf>
    <xf numFmtId="0" fontId="22" fillId="4" borderId="0" xfId="0" applyFont="1" applyFill="1"/>
    <xf numFmtId="0" fontId="22" fillId="4" borderId="0" xfId="0" applyFont="1" applyFill="1" applyAlignment="1">
      <alignment horizontal="left" vertical="center"/>
    </xf>
    <xf numFmtId="0" fontId="26" fillId="4" borderId="0" xfId="0" applyFont="1" applyFill="1"/>
    <xf numFmtId="0" fontId="22" fillId="4" borderId="0" xfId="0" applyFont="1" applyFill="1" applyProtection="1"/>
    <xf numFmtId="0" fontId="22" fillId="4" borderId="0" xfId="0" applyFont="1" applyFill="1" applyAlignment="1">
      <alignment horizontal="center"/>
    </xf>
    <xf numFmtId="0" fontId="22" fillId="4" borderId="2" xfId="0" applyFont="1" applyFill="1" applyBorder="1" applyAlignment="1" applyProtection="1">
      <alignment horizontal="center"/>
    </xf>
    <xf numFmtId="0" fontId="22" fillId="4" borderId="4" xfId="0" applyFont="1" applyFill="1" applyBorder="1" applyProtection="1"/>
    <xf numFmtId="0" fontId="22" fillId="4" borderId="7" xfId="0" applyFont="1" applyFill="1" applyBorder="1" applyAlignment="1" applyProtection="1">
      <alignment horizontal="center"/>
    </xf>
    <xf numFmtId="0" fontId="22" fillId="4" borderId="0" xfId="0" applyFont="1" applyFill="1" applyBorder="1" applyProtection="1"/>
    <xf numFmtId="0" fontId="22" fillId="4" borderId="1" xfId="0" applyFont="1" applyFill="1" applyBorder="1" applyProtection="1"/>
    <xf numFmtId="0" fontId="22" fillId="4" borderId="5" xfId="0" applyFont="1" applyFill="1" applyBorder="1" applyAlignment="1" applyProtection="1">
      <alignment horizontal="center"/>
    </xf>
    <xf numFmtId="0" fontId="22" fillId="4" borderId="5" xfId="0" applyFont="1" applyFill="1" applyBorder="1" applyProtection="1"/>
    <xf numFmtId="0" fontId="25" fillId="4" borderId="25" xfId="0" applyFont="1" applyFill="1" applyBorder="1" applyAlignment="1">
      <alignment horizontal="left"/>
    </xf>
    <xf numFmtId="0" fontId="15" fillId="5" borderId="44" xfId="0" applyFont="1" applyFill="1" applyBorder="1" applyAlignment="1" applyProtection="1">
      <alignment horizontal="center"/>
    </xf>
    <xf numFmtId="0" fontId="5" fillId="4" borderId="37" xfId="0" applyFont="1" applyFill="1" applyBorder="1" applyAlignment="1">
      <alignment horizontal="center"/>
    </xf>
    <xf numFmtId="0" fontId="6" fillId="8" borderId="0" xfId="0" applyFont="1" applyFill="1" applyAlignment="1">
      <alignment vertical="center"/>
    </xf>
    <xf numFmtId="0" fontId="6" fillId="8" borderId="0" xfId="0" applyFont="1" applyFill="1" applyAlignment="1">
      <alignment vertical="top"/>
    </xf>
    <xf numFmtId="0" fontId="6" fillId="8" borderId="0" xfId="0" applyFont="1" applyFill="1"/>
    <xf numFmtId="0" fontId="6" fillId="8" borderId="0" xfId="0" applyFont="1" applyFill="1" applyAlignment="1">
      <alignment horizontal="left" vertical="center"/>
    </xf>
    <xf numFmtId="0" fontId="5" fillId="8" borderId="0" xfId="0" applyFont="1" applyFill="1"/>
    <xf numFmtId="0" fontId="6" fillId="8" borderId="0" xfId="0" applyFont="1" applyFill="1" applyProtection="1"/>
    <xf numFmtId="0" fontId="6" fillId="8" borderId="0" xfId="0" applyFont="1" applyFill="1" applyAlignment="1">
      <alignment horizontal="center"/>
    </xf>
    <xf numFmtId="0" fontId="28" fillId="8" borderId="0" xfId="0" applyFont="1" applyFill="1" applyAlignment="1">
      <alignment vertical="center"/>
    </xf>
    <xf numFmtId="0" fontId="28" fillId="8" borderId="0" xfId="0" applyFont="1" applyFill="1" applyAlignment="1">
      <alignment vertical="top"/>
    </xf>
    <xf numFmtId="0" fontId="0" fillId="8" borderId="0" xfId="0" applyFill="1"/>
    <xf numFmtId="0" fontId="0" fillId="8" borderId="0" xfId="0" applyFill="1" applyAlignment="1">
      <alignment horizontal="left" vertical="center"/>
    </xf>
    <xf numFmtId="0" fontId="33" fillId="8" borderId="0" xfId="0" applyFont="1" applyFill="1"/>
    <xf numFmtId="0" fontId="15" fillId="8" borderId="0" xfId="0" applyFont="1" applyFill="1"/>
    <xf numFmtId="0" fontId="0" fillId="8" borderId="0" xfId="0" applyFill="1" applyProtection="1"/>
    <xf numFmtId="0" fontId="6" fillId="8" borderId="0" xfId="0" applyFont="1" applyFill="1" applyAlignment="1" applyProtection="1">
      <alignment horizontal="center"/>
    </xf>
    <xf numFmtId="0" fontId="6" fillId="8" borderId="0" xfId="0" applyFont="1" applyFill="1" applyBorder="1" applyAlignment="1" applyProtection="1">
      <alignment horizontal="center"/>
    </xf>
    <xf numFmtId="0" fontId="6" fillId="8" borderId="4" xfId="0" applyFont="1" applyFill="1" applyBorder="1" applyAlignment="1" applyProtection="1">
      <alignment horizontal="center"/>
    </xf>
    <xf numFmtId="0" fontId="6" fillId="8" borderId="1" xfId="0" applyFont="1" applyFill="1" applyBorder="1" applyAlignment="1" applyProtection="1">
      <alignment horizontal="center"/>
    </xf>
    <xf numFmtId="0" fontId="6" fillId="8" borderId="1" xfId="0" applyFont="1" applyFill="1" applyBorder="1" applyProtection="1"/>
    <xf numFmtId="0" fontId="15" fillId="5" borderId="42" xfId="0" applyFont="1" applyFill="1" applyBorder="1" applyAlignment="1" applyProtection="1">
      <alignment horizontal="center"/>
    </xf>
    <xf numFmtId="0" fontId="15" fillId="5" borderId="43" xfId="0" applyFont="1" applyFill="1" applyBorder="1" applyAlignment="1" applyProtection="1">
      <alignment horizontal="center"/>
    </xf>
    <xf numFmtId="0" fontId="17" fillId="4" borderId="0" xfId="0" applyFont="1" applyFill="1" applyBorder="1" applyAlignment="1" applyProtection="1">
      <alignment horizontal="left"/>
    </xf>
    <xf numFmtId="0" fontId="7" fillId="4" borderId="0" xfId="0" applyFont="1" applyFill="1" applyBorder="1" applyAlignment="1" applyProtection="1">
      <alignment horizontal="center"/>
    </xf>
    <xf numFmtId="0" fontId="9" fillId="4" borderId="0" xfId="0" applyFont="1" applyFill="1" applyBorder="1" applyAlignment="1" applyProtection="1">
      <alignment horizontal="left"/>
    </xf>
    <xf numFmtId="0" fontId="8" fillId="4" borderId="0" xfId="0" applyFont="1" applyFill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  <protection hidden="1"/>
    </xf>
    <xf numFmtId="0" fontId="0" fillId="6" borderId="25" xfId="0" applyFill="1" applyBorder="1" applyAlignment="1">
      <alignment horizontal="center"/>
    </xf>
    <xf numFmtId="0" fontId="24" fillId="4" borderId="24" xfId="0" applyFont="1" applyFill="1" applyBorder="1"/>
    <xf numFmtId="0" fontId="13" fillId="4" borderId="25" xfId="0" applyFont="1" applyFill="1" applyBorder="1"/>
    <xf numFmtId="0" fontId="24" fillId="4" borderId="26" xfId="0" applyFont="1" applyFill="1" applyBorder="1"/>
    <xf numFmtId="0" fontId="24" fillId="4" borderId="26" xfId="0" applyFont="1" applyFill="1" applyBorder="1" applyAlignment="1">
      <alignment horizontal="center"/>
    </xf>
    <xf numFmtId="0" fontId="24" fillId="4" borderId="26" xfId="0" applyFont="1" applyFill="1" applyBorder="1" applyAlignment="1">
      <alignment horizontal="left"/>
    </xf>
    <xf numFmtId="0" fontId="24" fillId="4" borderId="41" xfId="0" applyFont="1" applyFill="1" applyBorder="1"/>
    <xf numFmtId="0" fontId="26" fillId="4" borderId="0" xfId="0" applyFont="1" applyFill="1" applyAlignment="1">
      <alignment horizontal="left" vertical="center"/>
    </xf>
    <xf numFmtId="0" fontId="24" fillId="8" borderId="0" xfId="0" applyFont="1" applyFill="1"/>
    <xf numFmtId="0" fontId="15" fillId="4" borderId="0" xfId="0" applyFont="1" applyFill="1" applyAlignment="1" applyProtection="1">
      <alignment horizontal="center"/>
      <protection locked="0"/>
    </xf>
    <xf numFmtId="0" fontId="15" fillId="5" borderId="45" xfId="0" applyFont="1" applyFill="1" applyBorder="1" applyAlignment="1" applyProtection="1">
      <alignment horizontal="center"/>
    </xf>
    <xf numFmtId="0" fontId="15" fillId="5" borderId="46" xfId="0" applyFont="1" applyFill="1" applyBorder="1" applyAlignment="1" applyProtection="1">
      <alignment horizontal="center"/>
    </xf>
    <xf numFmtId="0" fontId="33" fillId="4" borderId="2" xfId="0" applyFont="1" applyFill="1" applyBorder="1" applyAlignment="1">
      <alignment horizontal="center"/>
    </xf>
    <xf numFmtId="0" fontId="35" fillId="4" borderId="40" xfId="0" applyFont="1" applyFill="1" applyBorder="1" applyAlignment="1">
      <alignment horizontal="center"/>
    </xf>
    <xf numFmtId="1" fontId="30" fillId="4" borderId="0" xfId="0" applyNumberFormat="1" applyFont="1" applyFill="1" applyBorder="1" applyAlignment="1" applyProtection="1">
      <alignment horizontal="center"/>
    </xf>
    <xf numFmtId="0" fontId="30" fillId="4" borderId="0" xfId="0" applyFont="1" applyFill="1" applyBorder="1" applyAlignment="1" applyProtection="1">
      <alignment horizontal="center"/>
    </xf>
    <xf numFmtId="164" fontId="5" fillId="4" borderId="0" xfId="0" applyNumberFormat="1" applyFont="1" applyFill="1" applyBorder="1" applyAlignment="1" applyProtection="1">
      <alignment horizontal="center"/>
    </xf>
    <xf numFmtId="1" fontId="15" fillId="7" borderId="51" xfId="0" applyNumberFormat="1" applyFont="1" applyFill="1" applyBorder="1" applyAlignment="1">
      <alignment horizontal="center"/>
    </xf>
    <xf numFmtId="1" fontId="15" fillId="7" borderId="52" xfId="0" applyNumberFormat="1" applyFont="1" applyFill="1" applyBorder="1" applyAlignment="1">
      <alignment horizontal="center"/>
    </xf>
    <xf numFmtId="1" fontId="15" fillId="7" borderId="53" xfId="0" applyNumberFormat="1" applyFont="1" applyFill="1" applyBorder="1" applyAlignment="1">
      <alignment horizontal="center"/>
    </xf>
    <xf numFmtId="0" fontId="5" fillId="4" borderId="47" xfId="0" applyFont="1" applyFill="1" applyBorder="1" applyAlignment="1" applyProtection="1">
      <alignment horizontal="center"/>
    </xf>
    <xf numFmtId="0" fontId="5" fillId="4" borderId="54" xfId="0" applyFont="1" applyFill="1" applyBorder="1" applyAlignment="1" applyProtection="1">
      <alignment horizontal="center"/>
    </xf>
    <xf numFmtId="1" fontId="15" fillId="7" borderId="56" xfId="0" applyNumberFormat="1" applyFont="1" applyFill="1" applyBorder="1" applyAlignment="1">
      <alignment horizontal="center"/>
    </xf>
    <xf numFmtId="1" fontId="15" fillId="7" borderId="57" xfId="0" applyNumberFormat="1" applyFont="1" applyFill="1" applyBorder="1" applyAlignment="1">
      <alignment horizontal="center"/>
    </xf>
    <xf numFmtId="1" fontId="15" fillId="7" borderId="61" xfId="0" applyNumberFormat="1" applyFont="1" applyFill="1" applyBorder="1" applyAlignment="1">
      <alignment horizontal="center"/>
    </xf>
    <xf numFmtId="1" fontId="5" fillId="4" borderId="0" xfId="0" applyNumberFormat="1" applyFont="1" applyFill="1"/>
    <xf numFmtId="1" fontId="5" fillId="4" borderId="0" xfId="0" applyNumberFormat="1" applyFont="1" applyFill="1" applyAlignment="1">
      <alignment horizontal="center"/>
    </xf>
    <xf numFmtId="0" fontId="28" fillId="7" borderId="0" xfId="0" applyFont="1" applyFill="1" applyAlignment="1" applyProtection="1">
      <alignment vertical="center"/>
    </xf>
    <xf numFmtId="0" fontId="28" fillId="7" borderId="0" xfId="0" applyFont="1" applyFill="1" applyAlignment="1" applyProtection="1">
      <alignment horizontal="center" vertical="center"/>
    </xf>
    <xf numFmtId="0" fontId="28" fillId="7" borderId="0" xfId="0" applyFont="1" applyFill="1" applyAlignment="1" applyProtection="1">
      <alignment vertical="top"/>
    </xf>
    <xf numFmtId="0" fontId="28" fillId="7" borderId="0" xfId="0" applyFont="1" applyFill="1" applyBorder="1" applyAlignment="1" applyProtection="1">
      <alignment vertical="top"/>
    </xf>
    <xf numFmtId="0" fontId="28" fillId="7" borderId="0" xfId="0" applyFont="1" applyFill="1" applyAlignment="1" applyProtection="1">
      <alignment horizontal="center" vertical="top"/>
    </xf>
    <xf numFmtId="0" fontId="2" fillId="7" borderId="0" xfId="0" applyFont="1" applyFill="1" applyBorder="1" applyProtection="1"/>
    <xf numFmtId="0" fontId="2" fillId="7" borderId="0" xfId="0" applyFont="1" applyFill="1" applyBorder="1" applyAlignment="1" applyProtection="1">
      <alignment horizontal="center"/>
    </xf>
    <xf numFmtId="0" fontId="15" fillId="4" borderId="4" xfId="0" applyFont="1" applyFill="1" applyBorder="1" applyAlignment="1" applyProtection="1">
      <alignment horizontal="center"/>
      <protection locked="0"/>
    </xf>
    <xf numFmtId="0" fontId="15" fillId="4" borderId="1" xfId="0" applyFont="1" applyFill="1" applyBorder="1" applyAlignment="1" applyProtection="1">
      <alignment horizontal="center"/>
      <protection locked="0"/>
    </xf>
    <xf numFmtId="0" fontId="15" fillId="4" borderId="1" xfId="0" applyFont="1" applyFill="1" applyBorder="1" applyProtection="1">
      <protection locked="0"/>
    </xf>
    <xf numFmtId="0" fontId="40" fillId="4" borderId="21" xfId="0" applyFont="1" applyFill="1" applyBorder="1" applyAlignment="1">
      <alignment horizontal="center"/>
    </xf>
    <xf numFmtId="1" fontId="39" fillId="9" borderId="58" xfId="0" applyNumberFormat="1" applyFont="1" applyFill="1" applyBorder="1" applyAlignment="1" applyProtection="1">
      <alignment horizontal="center"/>
    </xf>
    <xf numFmtId="164" fontId="5" fillId="9" borderId="59" xfId="0" applyNumberFormat="1" applyFont="1" applyFill="1" applyBorder="1" applyAlignment="1" applyProtection="1">
      <alignment horizontal="center"/>
    </xf>
    <xf numFmtId="1" fontId="39" fillId="9" borderId="55" xfId="0" applyNumberFormat="1" applyFont="1" applyFill="1" applyBorder="1" applyAlignment="1" applyProtection="1">
      <alignment horizontal="center"/>
    </xf>
    <xf numFmtId="0" fontId="30" fillId="9" borderId="48" xfId="0" applyFont="1" applyFill="1" applyBorder="1" applyAlignment="1" applyProtection="1">
      <alignment horizontal="center"/>
    </xf>
    <xf numFmtId="164" fontId="5" fillId="9" borderId="60" xfId="0" applyNumberFormat="1" applyFont="1" applyFill="1" applyBorder="1" applyAlignment="1" applyProtection="1">
      <alignment horizontal="center"/>
    </xf>
    <xf numFmtId="164" fontId="38" fillId="9" borderId="60" xfId="0" applyNumberFormat="1" applyFont="1" applyFill="1" applyBorder="1" applyAlignment="1" applyProtection="1">
      <alignment horizontal="center"/>
    </xf>
    <xf numFmtId="1" fontId="39" fillId="9" borderId="62" xfId="0" applyNumberFormat="1" applyFont="1" applyFill="1" applyBorder="1" applyAlignment="1" applyProtection="1">
      <alignment horizontal="center"/>
    </xf>
    <xf numFmtId="0" fontId="30" fillId="9" borderId="49" xfId="0" applyFont="1" applyFill="1" applyBorder="1" applyAlignment="1" applyProtection="1">
      <alignment horizontal="center"/>
    </xf>
    <xf numFmtId="0" fontId="30" fillId="9" borderId="50" xfId="0" applyFont="1" applyFill="1" applyBorder="1" applyAlignment="1" applyProtection="1">
      <alignment horizontal="center"/>
    </xf>
    <xf numFmtId="164" fontId="5" fillId="9" borderId="63" xfId="0" applyNumberFormat="1" applyFont="1" applyFill="1" applyBorder="1" applyAlignment="1" applyProtection="1">
      <alignment horizontal="center"/>
    </xf>
    <xf numFmtId="1" fontId="30" fillId="9" borderId="48" xfId="0" applyNumberFormat="1" applyFont="1" applyFill="1" applyBorder="1" applyAlignment="1" applyProtection="1">
      <alignment horizontal="center"/>
    </xf>
    <xf numFmtId="0" fontId="28" fillId="10" borderId="0" xfId="0" applyFont="1" applyFill="1" applyAlignment="1">
      <alignment vertical="center"/>
    </xf>
    <xf numFmtId="0" fontId="28" fillId="10" borderId="0" xfId="0" applyFont="1" applyFill="1" applyAlignment="1">
      <alignment vertical="top"/>
    </xf>
    <xf numFmtId="0" fontId="0" fillId="10" borderId="0" xfId="0" applyFill="1"/>
    <xf numFmtId="0" fontId="0" fillId="10" borderId="0" xfId="0" applyFill="1" applyBorder="1" applyAlignment="1">
      <alignment horizontal="left" vertical="center"/>
    </xf>
    <xf numFmtId="0" fontId="0" fillId="10" borderId="0" xfId="0" applyFill="1" applyBorder="1"/>
    <xf numFmtId="0" fontId="24" fillId="10" borderId="0" xfId="0" applyFont="1" applyFill="1" applyBorder="1"/>
    <xf numFmtId="0" fontId="33" fillId="10" borderId="0" xfId="0" applyFont="1" applyFill="1" applyBorder="1"/>
    <xf numFmtId="0" fontId="35" fillId="4" borderId="0" xfId="0" applyFont="1" applyFill="1" applyBorder="1" applyAlignment="1">
      <alignment horizontal="left"/>
    </xf>
    <xf numFmtId="0" fontId="20" fillId="4" borderId="14" xfId="0" applyFont="1" applyFill="1" applyBorder="1"/>
    <xf numFmtId="0" fontId="18" fillId="4" borderId="0" xfId="0" applyFont="1" applyFill="1" applyBorder="1" applyAlignment="1">
      <alignment horizontal="center"/>
    </xf>
    <xf numFmtId="1" fontId="32" fillId="4" borderId="52" xfId="0" applyNumberFormat="1" applyFont="1" applyFill="1" applyBorder="1" applyAlignment="1">
      <alignment horizontal="center"/>
    </xf>
    <xf numFmtId="0" fontId="19" fillId="4" borderId="19" xfId="0" applyFont="1" applyFill="1" applyBorder="1"/>
    <xf numFmtId="0" fontId="0" fillId="4" borderId="0" xfId="0" applyFill="1" applyBorder="1"/>
    <xf numFmtId="0" fontId="11" fillId="4" borderId="0" xfId="0" applyFont="1" applyFill="1" applyBorder="1"/>
    <xf numFmtId="0" fontId="42" fillId="6" borderId="0" xfId="0" applyFont="1" applyFill="1" applyBorder="1" applyProtection="1">
      <protection locked="0"/>
    </xf>
    <xf numFmtId="0" fontId="14" fillId="0" borderId="0" xfId="0" applyFont="1"/>
    <xf numFmtId="0" fontId="14" fillId="0" borderId="0" xfId="0" applyFont="1" applyAlignment="1">
      <alignment horizontal="left"/>
    </xf>
    <xf numFmtId="0" fontId="35" fillId="6" borderId="21" xfId="0" applyFont="1" applyFill="1" applyBorder="1" applyAlignment="1">
      <alignment horizontal="left"/>
    </xf>
    <xf numFmtId="0" fontId="44" fillId="6" borderId="21" xfId="0" applyFont="1" applyFill="1" applyBorder="1"/>
    <xf numFmtId="0" fontId="45" fillId="6" borderId="21" xfId="0" applyFont="1" applyFill="1" applyBorder="1" applyAlignment="1">
      <alignment horizontal="centerContinuous"/>
    </xf>
    <xf numFmtId="0" fontId="44" fillId="6" borderId="21" xfId="0" applyFont="1" applyFill="1" applyBorder="1" applyAlignment="1">
      <alignment horizontal="center"/>
    </xf>
    <xf numFmtId="0" fontId="35" fillId="6" borderId="21" xfId="0" applyFont="1" applyFill="1" applyBorder="1" applyAlignment="1">
      <alignment horizontal="centerContinuous"/>
    </xf>
    <xf numFmtId="0" fontId="14" fillId="0" borderId="0" xfId="0" applyFont="1" applyBorder="1"/>
    <xf numFmtId="0" fontId="46" fillId="0" borderId="0" xfId="0" applyFont="1" applyBorder="1" applyAlignment="1">
      <alignment horizontal="left"/>
    </xf>
    <xf numFmtId="0" fontId="14" fillId="0" borderId="0" xfId="0" applyFont="1" applyAlignment="1">
      <alignment horizontal="center"/>
    </xf>
    <xf numFmtId="0" fontId="15" fillId="0" borderId="39" xfId="0" applyFont="1" applyFill="1" applyBorder="1" applyAlignment="1" applyProtection="1">
      <alignment horizontal="center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15" fillId="0" borderId="21" xfId="0" applyFont="1" applyFill="1" applyBorder="1" applyAlignment="1" applyProtection="1">
      <alignment horizontal="center"/>
      <protection locked="0"/>
    </xf>
    <xf numFmtId="0" fontId="15" fillId="0" borderId="2" xfId="0" applyFont="1" applyFill="1" applyBorder="1" applyAlignment="1" applyProtection="1">
      <alignment horizontal="center"/>
      <protection locked="0"/>
    </xf>
    <xf numFmtId="0" fontId="15" fillId="0" borderId="25" xfId="0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5" fillId="0" borderId="26" xfId="0" applyFont="1" applyFill="1" applyBorder="1" applyAlignment="1" applyProtection="1">
      <alignment horizontal="center"/>
      <protection locked="0"/>
    </xf>
    <xf numFmtId="0" fontId="15" fillId="0" borderId="28" xfId="0" applyFont="1" applyFill="1" applyBorder="1" applyAlignment="1" applyProtection="1">
      <alignment horizontal="center"/>
      <protection locked="0"/>
    </xf>
    <xf numFmtId="0" fontId="2" fillId="7" borderId="0" xfId="0" applyFont="1" applyFill="1" applyBorder="1" applyAlignment="1" applyProtection="1">
      <alignment horizontal="center" vertical="center"/>
    </xf>
    <xf numFmtId="0" fontId="39" fillId="7" borderId="0" xfId="0" applyFont="1" applyFill="1" applyBorder="1" applyAlignment="1" applyProtection="1">
      <alignment horizontal="center" vertical="center"/>
    </xf>
    <xf numFmtId="0" fontId="24" fillId="0" borderId="0" xfId="0" applyFont="1"/>
    <xf numFmtId="0" fontId="25" fillId="0" borderId="24" xfId="0" applyFont="1" applyFill="1" applyBorder="1" applyAlignment="1" applyProtection="1">
      <alignment horizontal="center"/>
      <protection locked="0"/>
    </xf>
    <xf numFmtId="0" fontId="37" fillId="0" borderId="25" xfId="0" applyFont="1" applyFill="1" applyBorder="1" applyAlignment="1" applyProtection="1">
      <alignment horizontal="center"/>
      <protection locked="0"/>
    </xf>
    <xf numFmtId="0" fontId="25" fillId="0" borderId="39" xfId="0" applyFont="1" applyFill="1" applyBorder="1" applyAlignment="1" applyProtection="1">
      <alignment horizontal="center"/>
      <protection locked="0"/>
    </xf>
    <xf numFmtId="0" fontId="37" fillId="0" borderId="0" xfId="0" applyFont="1" applyFill="1" applyBorder="1" applyAlignment="1" applyProtection="1">
      <alignment horizontal="center"/>
      <protection locked="0"/>
    </xf>
    <xf numFmtId="0" fontId="25" fillId="0" borderId="27" xfId="0" applyFont="1" applyFill="1" applyBorder="1" applyAlignment="1" applyProtection="1">
      <alignment horizontal="center"/>
      <protection locked="0"/>
    </xf>
    <xf numFmtId="0" fontId="37" fillId="0" borderId="21" xfId="0" applyFont="1" applyFill="1" applyBorder="1" applyAlignment="1" applyProtection="1">
      <alignment horizontal="center"/>
      <protection locked="0"/>
    </xf>
    <xf numFmtId="0" fontId="15" fillId="4" borderId="25" xfId="0" applyFont="1" applyFill="1" applyBorder="1" applyAlignment="1" applyProtection="1">
      <alignment horizontal="center"/>
    </xf>
    <xf numFmtId="0" fontId="15" fillId="0" borderId="0" xfId="1" applyFont="1" applyBorder="1" applyAlignment="1" applyProtection="1">
      <alignment horizontal="center"/>
      <protection locked="0"/>
    </xf>
    <xf numFmtId="0" fontId="15" fillId="0" borderId="2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4" borderId="25" xfId="0" applyFont="1" applyFill="1" applyBorder="1" applyProtection="1"/>
    <xf numFmtId="0" fontId="15" fillId="3" borderId="27" xfId="1" applyFont="1" applyFill="1" applyBorder="1" applyAlignment="1" applyProtection="1">
      <alignment horizontal="center"/>
      <protection locked="0"/>
    </xf>
    <xf numFmtId="0" fontId="15" fillId="4" borderId="37" xfId="0" applyFont="1" applyFill="1" applyBorder="1" applyProtection="1"/>
    <xf numFmtId="0" fontId="15" fillId="4" borderId="40" xfId="0" applyFont="1" applyFill="1" applyBorder="1" applyProtection="1"/>
    <xf numFmtId="0" fontId="15" fillId="4" borderId="21" xfId="0" applyFont="1" applyFill="1" applyBorder="1" applyProtection="1"/>
    <xf numFmtId="0" fontId="15" fillId="4" borderId="21" xfId="0" applyFont="1" applyFill="1" applyBorder="1" applyAlignment="1" applyProtection="1">
      <alignment horizontal="center"/>
    </xf>
    <xf numFmtId="0" fontId="15" fillId="4" borderId="38" xfId="0" applyFont="1" applyFill="1" applyBorder="1" applyProtection="1"/>
    <xf numFmtId="0" fontId="15" fillId="4" borderId="23" xfId="0" applyFont="1" applyFill="1" applyBorder="1" applyAlignment="1" applyProtection="1">
      <alignment horizontal="center"/>
    </xf>
    <xf numFmtId="0" fontId="15" fillId="4" borderId="41" xfId="0" applyFont="1" applyFill="1" applyBorder="1" applyAlignment="1" applyProtection="1">
      <alignment horizontal="center"/>
    </xf>
    <xf numFmtId="0" fontId="15" fillId="4" borderId="0" xfId="1" applyFont="1" applyFill="1" applyBorder="1" applyAlignment="1" applyProtection="1">
      <alignment horizontal="center"/>
    </xf>
    <xf numFmtId="0" fontId="15" fillId="4" borderId="0" xfId="1" applyFont="1" applyFill="1" applyBorder="1" applyProtection="1"/>
    <xf numFmtId="0" fontId="15" fillId="4" borderId="3" xfId="1" applyFont="1" applyFill="1" applyBorder="1" applyAlignment="1" applyProtection="1">
      <alignment horizontal="center"/>
    </xf>
    <xf numFmtId="0" fontId="15" fillId="0" borderId="0" xfId="1" applyFont="1" applyFill="1" applyBorder="1" applyAlignment="1" applyProtection="1">
      <alignment horizontal="center"/>
      <protection locked="0"/>
    </xf>
    <xf numFmtId="0" fontId="15" fillId="0" borderId="21" xfId="1" applyFont="1" applyFill="1" applyBorder="1" applyAlignment="1" applyProtection="1">
      <alignment horizontal="center"/>
      <protection locked="0"/>
    </xf>
    <xf numFmtId="0" fontId="15" fillId="0" borderId="2" xfId="1" applyFont="1" applyFill="1" applyBorder="1" applyAlignment="1" applyProtection="1">
      <alignment horizontal="center"/>
      <protection locked="0"/>
    </xf>
    <xf numFmtId="0" fontId="15" fillId="0" borderId="28" xfId="1" applyFont="1" applyFill="1" applyBorder="1" applyAlignment="1" applyProtection="1">
      <alignment horizontal="center"/>
      <protection locked="0"/>
    </xf>
    <xf numFmtId="0" fontId="15" fillId="4" borderId="25" xfId="1" applyFont="1" applyFill="1" applyBorder="1" applyAlignment="1" applyProtection="1">
      <alignment horizontal="center"/>
    </xf>
    <xf numFmtId="0" fontId="15" fillId="4" borderId="25" xfId="1" applyFont="1" applyFill="1" applyBorder="1" applyProtection="1"/>
    <xf numFmtId="0" fontId="15" fillId="3" borderId="25" xfId="1" applyFont="1" applyFill="1" applyBorder="1" applyAlignment="1" applyProtection="1">
      <alignment horizontal="center"/>
      <protection locked="0"/>
    </xf>
    <xf numFmtId="0" fontId="15" fillId="3" borderId="0" xfId="1" applyFont="1" applyFill="1" applyBorder="1" applyAlignment="1" applyProtection="1">
      <alignment horizontal="center"/>
      <protection locked="0"/>
    </xf>
    <xf numFmtId="0" fontId="15" fillId="3" borderId="21" xfId="1" applyFont="1" applyFill="1" applyBorder="1" applyAlignment="1" applyProtection="1">
      <alignment horizontal="center"/>
      <protection locked="0"/>
    </xf>
    <xf numFmtId="0" fontId="15" fillId="3" borderId="24" xfId="1" applyFont="1" applyFill="1" applyBorder="1" applyAlignment="1" applyProtection="1">
      <alignment horizontal="center"/>
      <protection locked="0"/>
    </xf>
    <xf numFmtId="0" fontId="15" fillId="3" borderId="39" xfId="1" applyFont="1" applyFill="1" applyBorder="1" applyAlignment="1" applyProtection="1">
      <alignment horizontal="center"/>
      <protection locked="0"/>
    </xf>
    <xf numFmtId="0" fontId="15" fillId="4" borderId="21" xfId="1" applyFont="1" applyFill="1" applyBorder="1" applyProtection="1"/>
    <xf numFmtId="0" fontId="15" fillId="4" borderId="21" xfId="1" applyFont="1" applyFill="1" applyBorder="1" applyAlignment="1" applyProtection="1">
      <alignment horizontal="center"/>
    </xf>
    <xf numFmtId="0" fontId="15" fillId="4" borderId="23" xfId="1" applyFont="1" applyFill="1" applyBorder="1" applyAlignment="1" applyProtection="1">
      <alignment horizontal="center"/>
    </xf>
    <xf numFmtId="0" fontId="15" fillId="4" borderId="41" xfId="1" applyFont="1" applyFill="1" applyBorder="1" applyAlignment="1" applyProtection="1">
      <alignment horizontal="center"/>
    </xf>
    <xf numFmtId="0" fontId="15" fillId="0" borderId="25" xfId="1" applyFont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164" fontId="38" fillId="9" borderId="63" xfId="0" applyNumberFormat="1" applyFont="1" applyFill="1" applyBorder="1" applyAlignment="1" applyProtection="1">
      <alignment horizontal="center"/>
    </xf>
    <xf numFmtId="0" fontId="15" fillId="0" borderId="41" xfId="0" applyFont="1" applyFill="1" applyBorder="1" applyAlignment="1" applyProtection="1">
      <alignment horizontal="left"/>
      <protection locked="0"/>
    </xf>
    <xf numFmtId="0" fontId="15" fillId="0" borderId="3" xfId="0" applyFont="1" applyFill="1" applyBorder="1" applyAlignment="1" applyProtection="1">
      <alignment horizontal="left"/>
      <protection locked="0"/>
    </xf>
    <xf numFmtId="0" fontId="31" fillId="0" borderId="3" xfId="0" applyFont="1" applyFill="1" applyBorder="1" applyAlignment="1" applyProtection="1">
      <alignment horizontal="left"/>
      <protection locked="0"/>
    </xf>
    <xf numFmtId="0" fontId="15" fillId="0" borderId="3" xfId="1" applyFont="1" applyBorder="1" applyProtection="1">
      <protection locked="0"/>
    </xf>
    <xf numFmtId="0" fontId="15" fillId="0" borderId="23" xfId="0" applyFont="1" applyFill="1" applyBorder="1" applyAlignment="1" applyProtection="1">
      <alignment horizontal="left"/>
      <protection locked="0"/>
    </xf>
    <xf numFmtId="0" fontId="15" fillId="0" borderId="41" xfId="1" applyFont="1" applyBorder="1" applyProtection="1">
      <protection locked="0"/>
    </xf>
    <xf numFmtId="0" fontId="31" fillId="0" borderId="3" xfId="1" applyFont="1" applyBorder="1" applyProtection="1">
      <protection locked="0"/>
    </xf>
    <xf numFmtId="0" fontId="45" fillId="0" borderId="3" xfId="0" applyFont="1" applyFill="1" applyBorder="1" applyAlignment="1" applyProtection="1">
      <alignment horizontal="left"/>
      <protection locked="0"/>
    </xf>
    <xf numFmtId="0" fontId="15" fillId="0" borderId="26" xfId="1" applyFont="1" applyFill="1" applyBorder="1" applyAlignment="1" applyProtection="1">
      <alignment horizontal="center"/>
      <protection locked="0"/>
    </xf>
    <xf numFmtId="0" fontId="15" fillId="0" borderId="25" xfId="1" applyFont="1" applyFill="1" applyBorder="1" applyAlignment="1" applyProtection="1">
      <alignment horizontal="center"/>
      <protection locked="0"/>
    </xf>
    <xf numFmtId="0" fontId="15" fillId="0" borderId="0" xfId="1" applyFont="1" applyFill="1" applyAlignment="1" applyProtection="1">
      <alignment horizontal="center"/>
      <protection locked="0"/>
    </xf>
    <xf numFmtId="0" fontId="8" fillId="0" borderId="2" xfId="1" applyFont="1" applyFill="1" applyBorder="1" applyAlignment="1" applyProtection="1">
      <alignment horizontal="center"/>
      <protection locked="0"/>
    </xf>
    <xf numFmtId="0" fontId="8" fillId="0" borderId="0" xfId="1" applyFont="1" applyFill="1" applyBorder="1" applyAlignment="1" applyProtection="1">
      <alignment horizontal="center"/>
      <protection locked="0"/>
    </xf>
    <xf numFmtId="0" fontId="8" fillId="0" borderId="26" xfId="1" applyFont="1" applyFill="1" applyBorder="1" applyAlignment="1" applyProtection="1">
      <alignment horizontal="center"/>
      <protection locked="0"/>
    </xf>
    <xf numFmtId="0" fontId="8" fillId="0" borderId="25" xfId="1" applyFont="1" applyFill="1" applyBorder="1" applyAlignment="1" applyProtection="1">
      <alignment horizontal="center"/>
      <protection locked="0"/>
    </xf>
    <xf numFmtId="0" fontId="8" fillId="0" borderId="0" xfId="1" applyFont="1" applyFill="1" applyAlignment="1" applyProtection="1">
      <alignment horizontal="center"/>
      <protection locked="0"/>
    </xf>
    <xf numFmtId="0" fontId="15" fillId="0" borderId="2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</xf>
    <xf numFmtId="0" fontId="15" fillId="0" borderId="3" xfId="1" applyFont="1" applyFill="1" applyBorder="1" applyProtection="1">
      <protection locked="0"/>
    </xf>
    <xf numFmtId="1" fontId="5" fillId="2" borderId="0" xfId="0" applyNumberFormat="1" applyFont="1" applyFill="1"/>
    <xf numFmtId="0" fontId="11" fillId="4" borderId="0" xfId="0" applyFont="1" applyFill="1"/>
    <xf numFmtId="0" fontId="50" fillId="4" borderId="0" xfId="0" applyFont="1" applyFill="1" applyBorder="1"/>
    <xf numFmtId="0" fontId="51" fillId="4" borderId="0" xfId="0" applyFont="1" applyFill="1"/>
    <xf numFmtId="0" fontId="47" fillId="4" borderId="0" xfId="0" applyFont="1" applyFill="1"/>
    <xf numFmtId="0" fontId="47" fillId="4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0" fillId="4" borderId="0" xfId="0" applyFont="1" applyFill="1"/>
    <xf numFmtId="0" fontId="11" fillId="8" borderId="0" xfId="0" applyFont="1" applyFill="1"/>
    <xf numFmtId="0" fontId="52" fillId="11" borderId="20" xfId="0" applyFont="1" applyFill="1" applyBorder="1" applyAlignment="1" applyProtection="1">
      <alignment horizontal="center"/>
      <protection hidden="1"/>
    </xf>
    <xf numFmtId="0" fontId="53" fillId="4" borderId="0" xfId="0" applyFont="1" applyFill="1"/>
    <xf numFmtId="0" fontId="54" fillId="4" borderId="0" xfId="0" applyFont="1" applyFill="1"/>
    <xf numFmtId="0" fontId="49" fillId="0" borderId="33" xfId="0" applyFont="1" applyFill="1" applyBorder="1" applyAlignment="1" applyProtection="1">
      <alignment horizontal="left" vertical="center"/>
      <protection locked="0"/>
    </xf>
    <xf numFmtId="0" fontId="0" fillId="0" borderId="34" xfId="0" applyFill="1" applyBorder="1" applyAlignment="1" applyProtection="1">
      <alignment horizontal="left" vertical="center"/>
      <protection locked="0"/>
    </xf>
    <xf numFmtId="0" fontId="3" fillId="0" borderId="34" xfId="0" applyFont="1" applyFill="1" applyBorder="1" applyAlignment="1" applyProtection="1">
      <alignment horizontal="left" vertical="center"/>
      <protection locked="0"/>
    </xf>
    <xf numFmtId="0" fontId="0" fillId="0" borderId="34" xfId="0" applyFill="1" applyBorder="1" applyAlignment="1" applyProtection="1">
      <alignment horizontal="center"/>
      <protection locked="0"/>
    </xf>
    <xf numFmtId="0" fontId="0" fillId="0" borderId="64" xfId="0" applyFill="1" applyBorder="1"/>
    <xf numFmtId="0" fontId="2" fillId="12" borderId="22" xfId="0" applyFont="1" applyFill="1" applyBorder="1" applyAlignment="1" applyProtection="1">
      <alignment horizontal="center"/>
    </xf>
    <xf numFmtId="0" fontId="34" fillId="7" borderId="0" xfId="0" applyFont="1" applyFill="1" applyBorder="1" applyAlignment="1" applyProtection="1"/>
    <xf numFmtId="0" fontId="0" fillId="12" borderId="0" xfId="0" applyFill="1"/>
    <xf numFmtId="1" fontId="15" fillId="7" borderId="65" xfId="0" applyNumberFormat="1" applyFont="1" applyFill="1" applyBorder="1" applyAlignment="1">
      <alignment horizontal="center"/>
    </xf>
    <xf numFmtId="1" fontId="15" fillId="7" borderId="68" xfId="0" applyNumberFormat="1" applyFont="1" applyFill="1" applyBorder="1" applyAlignment="1">
      <alignment horizontal="center"/>
    </xf>
    <xf numFmtId="1" fontId="39" fillId="9" borderId="69" xfId="0" applyNumberFormat="1" applyFont="1" applyFill="1" applyBorder="1" applyAlignment="1" applyProtection="1">
      <alignment horizontal="center"/>
    </xf>
    <xf numFmtId="0" fontId="30" fillId="9" borderId="70" xfId="0" applyFont="1" applyFill="1" applyBorder="1" applyAlignment="1" applyProtection="1">
      <alignment horizontal="center"/>
    </xf>
    <xf numFmtId="0" fontId="24" fillId="4" borderId="25" xfId="0" applyFont="1" applyFill="1" applyBorder="1"/>
    <xf numFmtId="0" fontId="5" fillId="4" borderId="21" xfId="0" applyFont="1" applyFill="1" applyBorder="1" applyAlignment="1">
      <alignment horizontal="center"/>
    </xf>
    <xf numFmtId="0" fontId="56" fillId="0" borderId="0" xfId="0" applyFont="1" applyBorder="1"/>
    <xf numFmtId="0" fontId="11" fillId="0" borderId="0" xfId="0" applyFont="1"/>
    <xf numFmtId="0" fontId="11" fillId="0" borderId="0" xfId="1" applyFont="1" applyBorder="1" applyAlignment="1">
      <alignment horizontal="center"/>
    </xf>
    <xf numFmtId="0" fontId="58" fillId="0" borderId="0" xfId="1" applyFont="1" applyBorder="1" applyAlignment="1">
      <alignment horizontal="center"/>
    </xf>
    <xf numFmtId="0" fontId="60" fillId="0" borderId="0" xfId="1" applyFont="1" applyFill="1" applyBorder="1" applyAlignment="1">
      <alignment horizontal="center"/>
    </xf>
    <xf numFmtId="0" fontId="57" fillId="0" borderId="0" xfId="1" applyFont="1" applyBorder="1" applyAlignment="1">
      <alignment horizontal="center"/>
    </xf>
    <xf numFmtId="0" fontId="11" fillId="0" borderId="0" xfId="1" applyFont="1" applyBorder="1" applyAlignment="1">
      <alignment horizontal="left"/>
    </xf>
    <xf numFmtId="0" fontId="58" fillId="0" borderId="0" xfId="1" applyFont="1" applyBorder="1" applyAlignment="1">
      <alignment horizontal="left"/>
    </xf>
    <xf numFmtId="0" fontId="57" fillId="0" borderId="0" xfId="1" applyFont="1" applyBorder="1" applyAlignment="1">
      <alignment horizontal="left"/>
    </xf>
    <xf numFmtId="0" fontId="61" fillId="0" borderId="0" xfId="1" applyFont="1" applyBorder="1" applyAlignment="1">
      <alignment horizontal="left"/>
    </xf>
    <xf numFmtId="0" fontId="61" fillId="0" borderId="0" xfId="1" applyFont="1" applyBorder="1" applyAlignment="1">
      <alignment horizontal="center"/>
    </xf>
    <xf numFmtId="0" fontId="11" fillId="0" borderId="0" xfId="1" applyFont="1" applyBorder="1"/>
    <xf numFmtId="0" fontId="65" fillId="0" borderId="0" xfId="1" applyFont="1" applyBorder="1" applyAlignment="1">
      <alignment horizontal="center"/>
    </xf>
    <xf numFmtId="0" fontId="11" fillId="0" borderId="0" xfId="1" applyFont="1" applyBorder="1" applyAlignment="1"/>
    <xf numFmtId="0" fontId="63" fillId="0" borderId="0" xfId="1" applyFont="1" applyBorder="1" applyAlignment="1">
      <alignment horizontal="center"/>
    </xf>
    <xf numFmtId="0" fontId="11" fillId="0" borderId="0" xfId="0" applyFont="1" applyBorder="1"/>
    <xf numFmtId="0" fontId="65" fillId="0" borderId="0" xfId="1" applyFont="1" applyBorder="1" applyAlignment="1">
      <alignment horizontal="left"/>
    </xf>
    <xf numFmtId="0" fontId="11" fillId="0" borderId="0" xfId="0" applyFont="1" applyFill="1" applyBorder="1"/>
    <xf numFmtId="0" fontId="11" fillId="0" borderId="0" xfId="1" applyFont="1" applyFill="1" applyBorder="1" applyAlignment="1">
      <alignment horizontal="center"/>
    </xf>
    <xf numFmtId="0" fontId="57" fillId="0" borderId="0" xfId="1" applyFont="1" applyFill="1" applyBorder="1" applyAlignment="1"/>
    <xf numFmtId="0" fontId="58" fillId="0" borderId="0" xfId="1" applyFont="1" applyFill="1" applyBorder="1" applyAlignment="1">
      <alignment horizontal="center"/>
    </xf>
    <xf numFmtId="0" fontId="11" fillId="0" borderId="0" xfId="1" applyFont="1" applyFill="1" applyBorder="1" applyAlignment="1"/>
    <xf numFmtId="0" fontId="57" fillId="0" borderId="0" xfId="1" applyFont="1" applyFill="1" applyBorder="1" applyAlignment="1">
      <alignment horizontal="center"/>
    </xf>
    <xf numFmtId="0" fontId="62" fillId="0" borderId="0" xfId="1" applyFont="1" applyFill="1" applyBorder="1" applyAlignment="1">
      <alignment horizontal="center"/>
    </xf>
    <xf numFmtId="0" fontId="14" fillId="0" borderId="0" xfId="0" applyFont="1" applyFill="1" applyBorder="1"/>
    <xf numFmtId="0" fontId="14" fillId="0" borderId="0" xfId="0" applyFont="1" applyBorder="1" applyAlignment="1">
      <alignment horizontal="center"/>
    </xf>
    <xf numFmtId="0" fontId="22" fillId="0" borderId="0" xfId="0" applyFont="1"/>
    <xf numFmtId="0" fontId="14" fillId="0" borderId="0" xfId="7" applyFont="1" applyFill="1" applyBorder="1" applyAlignment="1"/>
    <xf numFmtId="0" fontId="68" fillId="0" borderId="0" xfId="7" applyFont="1" applyFill="1" applyBorder="1" applyAlignment="1"/>
    <xf numFmtId="0" fontId="69" fillId="0" borderId="0" xfId="7" applyFont="1" applyFill="1" applyBorder="1" applyAlignment="1"/>
    <xf numFmtId="0" fontId="66" fillId="0" borderId="0" xfId="0" applyFont="1" applyBorder="1" applyAlignment="1">
      <alignment horizontal="center"/>
    </xf>
    <xf numFmtId="0" fontId="15" fillId="0" borderId="23" xfId="1" applyFont="1" applyBorder="1" applyProtection="1">
      <protection locked="0"/>
    </xf>
    <xf numFmtId="0" fontId="15" fillId="0" borderId="28" xfId="1" applyFont="1" applyBorder="1" applyAlignment="1" applyProtection="1">
      <alignment horizontal="center"/>
      <protection locked="0"/>
    </xf>
    <xf numFmtId="0" fontId="15" fillId="0" borderId="21" xfId="1" applyFont="1" applyBorder="1" applyAlignment="1" applyProtection="1">
      <alignment horizontal="center"/>
      <protection locked="0"/>
    </xf>
    <xf numFmtId="0" fontId="66" fillId="0" borderId="0" xfId="0" applyFont="1"/>
    <xf numFmtId="0" fontId="26" fillId="7" borderId="0" xfId="0" applyFont="1" applyFill="1" applyAlignment="1" applyProtection="1">
      <alignment vertical="center"/>
    </xf>
    <xf numFmtId="0" fontId="26" fillId="7" borderId="0" xfId="0" applyFont="1" applyFill="1" applyAlignment="1" applyProtection="1">
      <alignment horizontal="center" vertical="center"/>
    </xf>
    <xf numFmtId="0" fontId="15" fillId="4" borderId="37" xfId="1" applyFont="1" applyFill="1" applyBorder="1" applyProtection="1"/>
    <xf numFmtId="0" fontId="15" fillId="4" borderId="40" xfId="1" applyFont="1" applyFill="1" applyBorder="1" applyProtection="1"/>
    <xf numFmtId="0" fontId="15" fillId="4" borderId="38" xfId="1" applyFont="1" applyFill="1" applyBorder="1" applyProtection="1"/>
    <xf numFmtId="0" fontId="75" fillId="0" borderId="0" xfId="0" applyFont="1"/>
    <xf numFmtId="0" fontId="13" fillId="0" borderId="0" xfId="0" applyFont="1" applyFill="1"/>
    <xf numFmtId="0" fontId="13" fillId="0" borderId="0" xfId="0" applyFont="1" applyFill="1" applyBorder="1"/>
    <xf numFmtId="0" fontId="35" fillId="0" borderId="0" xfId="0" applyFont="1"/>
    <xf numFmtId="0" fontId="25" fillId="0" borderId="0" xfId="0" applyFont="1"/>
    <xf numFmtId="0" fontId="5" fillId="0" borderId="0" xfId="0" applyFont="1"/>
    <xf numFmtId="0" fontId="25" fillId="3" borderId="0" xfId="0" applyFont="1" applyFill="1"/>
    <xf numFmtId="0" fontId="14" fillId="0" borderId="0" xfId="0" applyFont="1" applyBorder="1" applyAlignment="1">
      <alignment horizontal="left"/>
    </xf>
    <xf numFmtId="0" fontId="14" fillId="0" borderId="0" xfId="1" applyFont="1" applyBorder="1"/>
    <xf numFmtId="0" fontId="74" fillId="0" borderId="0" xfId="1" applyFont="1" applyFill="1" applyBorder="1" applyAlignment="1">
      <alignment horizontal="center"/>
    </xf>
    <xf numFmtId="0" fontId="14" fillId="0" borderId="0" xfId="1" applyFont="1" applyBorder="1" applyAlignment="1">
      <alignment horizontal="left"/>
    </xf>
    <xf numFmtId="0" fontId="57" fillId="0" borderId="0" xfId="1" applyFont="1" applyBorder="1"/>
    <xf numFmtId="0" fontId="59" fillId="0" borderId="0" xfId="1" applyFont="1" applyBorder="1" applyAlignment="1">
      <alignment horizontal="left"/>
    </xf>
    <xf numFmtId="0" fontId="10" fillId="0" borderId="0" xfId="1" applyFont="1" applyBorder="1"/>
    <xf numFmtId="0" fontId="11" fillId="0" borderId="0" xfId="0" applyFont="1" applyBorder="1" applyAlignment="1">
      <alignment horizontal="left"/>
    </xf>
    <xf numFmtId="0" fontId="14" fillId="0" borderId="0" xfId="0" applyFont="1" applyFill="1" applyBorder="1" applyAlignment="1">
      <alignment horizontal="left"/>
    </xf>
    <xf numFmtId="0" fontId="14" fillId="0" borderId="0" xfId="1" applyFont="1" applyFill="1" applyBorder="1"/>
    <xf numFmtId="0" fontId="14" fillId="0" borderId="0" xfId="1" applyFont="1" applyFill="1" applyBorder="1" applyAlignment="1">
      <alignment horizontal="center"/>
    </xf>
    <xf numFmtId="0" fontId="25" fillId="0" borderId="0" xfId="0" applyFont="1" applyFill="1" applyBorder="1"/>
    <xf numFmtId="0" fontId="11" fillId="0" borderId="0" xfId="1" applyFont="1" applyFill="1" applyBorder="1"/>
    <xf numFmtId="0" fontId="14" fillId="0" borderId="0" xfId="1" applyFont="1" applyFill="1" applyBorder="1" applyAlignment="1">
      <alignment horizontal="left"/>
    </xf>
    <xf numFmtId="0" fontId="11" fillId="0" borderId="0" xfId="1" applyFont="1" applyFill="1" applyBorder="1" applyAlignment="1">
      <alignment horizontal="left"/>
    </xf>
    <xf numFmtId="0" fontId="50" fillId="0" borderId="0" xfId="0" applyFont="1" applyFill="1" applyBorder="1" applyAlignment="1">
      <alignment horizontal="center"/>
    </xf>
    <xf numFmtId="0" fontId="59" fillId="0" borderId="0" xfId="1" applyFont="1" applyFill="1" applyBorder="1" applyAlignment="1">
      <alignment horizontal="left"/>
    </xf>
    <xf numFmtId="0" fontId="10" fillId="0" borderId="0" xfId="1" applyFont="1" applyFill="1" applyBorder="1"/>
    <xf numFmtId="0" fontId="58" fillId="0" borderId="0" xfId="1" applyFont="1" applyFill="1" applyBorder="1" applyAlignment="1">
      <alignment horizontal="right"/>
    </xf>
    <xf numFmtId="0" fontId="58" fillId="0" borderId="0" xfId="1" applyFont="1" applyFill="1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63" fillId="0" borderId="0" xfId="1" applyFont="1" applyFill="1" applyBorder="1" applyAlignment="1">
      <alignment horizontal="center"/>
    </xf>
    <xf numFmtId="0" fontId="64" fillId="0" borderId="0" xfId="1" applyFont="1" applyFill="1" applyBorder="1" applyAlignment="1">
      <alignment horizontal="left"/>
    </xf>
    <xf numFmtId="0" fontId="63" fillId="0" borderId="0" xfId="2" applyFont="1" applyFill="1" applyBorder="1" applyAlignment="1" applyProtection="1">
      <alignment horizontal="center"/>
    </xf>
    <xf numFmtId="0" fontId="70" fillId="0" borderId="0" xfId="0" applyFont="1" applyFill="1" applyBorder="1" applyAlignment="1">
      <alignment horizontal="center"/>
    </xf>
    <xf numFmtId="0" fontId="61" fillId="0" borderId="0" xfId="1" applyFont="1" applyFill="1" applyBorder="1" applyAlignment="1">
      <alignment horizontal="center"/>
    </xf>
    <xf numFmtId="0" fontId="57" fillId="0" borderId="0" xfId="1" applyFont="1" applyFill="1" applyBorder="1" applyAlignment="1">
      <alignment horizontal="left"/>
    </xf>
    <xf numFmtId="0" fontId="61" fillId="0" borderId="0" xfId="1" applyFont="1" applyFill="1" applyBorder="1" applyAlignment="1">
      <alignment horizontal="left"/>
    </xf>
    <xf numFmtId="0" fontId="65" fillId="0" borderId="0" xfId="1" applyFont="1" applyFill="1" applyBorder="1" applyAlignment="1">
      <alignment horizontal="center"/>
    </xf>
    <xf numFmtId="0" fontId="72" fillId="0" borderId="0" xfId="0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0" xfId="0" applyFont="1" applyFill="1" applyBorder="1" applyAlignment="1">
      <alignment horizontal="center"/>
    </xf>
    <xf numFmtId="0" fontId="58" fillId="0" borderId="0" xfId="1" applyFont="1" applyFill="1" applyBorder="1"/>
    <xf numFmtId="0" fontId="15" fillId="3" borderId="25" xfId="0" applyFont="1" applyFill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/>
      <protection locked="0"/>
    </xf>
    <xf numFmtId="0" fontId="31" fillId="3" borderId="21" xfId="0" applyFont="1" applyFill="1" applyBorder="1" applyAlignment="1" applyProtection="1">
      <alignment horizontal="left"/>
      <protection locked="0"/>
    </xf>
    <xf numFmtId="0" fontId="15" fillId="3" borderId="21" xfId="0" applyFont="1" applyFill="1" applyBorder="1" applyAlignment="1" applyProtection="1">
      <alignment horizontal="left"/>
      <protection locked="0"/>
    </xf>
    <xf numFmtId="0" fontId="15" fillId="3" borderId="37" xfId="0" applyFont="1" applyFill="1" applyBorder="1" applyAlignment="1" applyProtection="1">
      <alignment horizontal="left"/>
      <protection locked="0"/>
    </xf>
    <xf numFmtId="0" fontId="15" fillId="3" borderId="40" xfId="0" applyFont="1" applyFill="1" applyBorder="1" applyAlignment="1" applyProtection="1">
      <alignment horizontal="left"/>
      <protection locked="0"/>
    </xf>
    <xf numFmtId="0" fontId="15" fillId="3" borderId="38" xfId="0" applyFont="1" applyFill="1" applyBorder="1" applyAlignment="1" applyProtection="1">
      <alignment horizontal="left"/>
      <protection locked="0"/>
    </xf>
    <xf numFmtId="0" fontId="31" fillId="3" borderId="37" xfId="0" applyFont="1" applyFill="1" applyBorder="1" applyAlignment="1" applyProtection="1">
      <alignment horizontal="left"/>
      <protection locked="0"/>
    </xf>
    <xf numFmtId="0" fontId="31" fillId="3" borderId="40" xfId="0" applyFont="1" applyFill="1" applyBorder="1" applyAlignment="1" applyProtection="1">
      <alignment horizontal="left"/>
      <protection locked="0"/>
    </xf>
    <xf numFmtId="0" fontId="31" fillId="3" borderId="38" xfId="0" applyFont="1" applyFill="1" applyBorder="1" applyAlignment="1" applyProtection="1">
      <alignment horizontal="left"/>
      <protection locked="0"/>
    </xf>
    <xf numFmtId="0" fontId="31" fillId="3" borderId="0" xfId="0" applyFont="1" applyFill="1" applyBorder="1" applyAlignment="1" applyProtection="1">
      <alignment horizontal="left"/>
      <protection locked="0"/>
    </xf>
    <xf numFmtId="0" fontId="27" fillId="0" borderId="0" xfId="0" applyFont="1"/>
    <xf numFmtId="0" fontId="77" fillId="0" borderId="0" xfId="0" applyFont="1" applyAlignment="1">
      <alignment horizontal="center" vertical="center"/>
    </xf>
    <xf numFmtId="0" fontId="77" fillId="0" borderId="9" xfId="0" applyFont="1" applyBorder="1" applyAlignment="1">
      <alignment horizontal="center" vertical="center"/>
    </xf>
    <xf numFmtId="0" fontId="76" fillId="0" borderId="14" xfId="0" applyFont="1" applyBorder="1" applyAlignment="1">
      <alignment horizontal="center" vertical="center"/>
    </xf>
    <xf numFmtId="0" fontId="77" fillId="0" borderId="66" xfId="0" applyFont="1" applyBorder="1" applyAlignment="1">
      <alignment horizontal="center" vertical="center"/>
    </xf>
    <xf numFmtId="0" fontId="77" fillId="0" borderId="0" xfId="0" applyFont="1" applyBorder="1" applyAlignment="1">
      <alignment horizontal="center" vertical="center"/>
    </xf>
    <xf numFmtId="0" fontId="77" fillId="0" borderId="73" xfId="0" applyFont="1" applyBorder="1" applyAlignment="1">
      <alignment horizontal="center" vertical="center"/>
    </xf>
    <xf numFmtId="0" fontId="77" fillId="0" borderId="14" xfId="0" applyFont="1" applyBorder="1" applyAlignment="1">
      <alignment horizontal="center" vertical="center"/>
    </xf>
    <xf numFmtId="0" fontId="78" fillId="0" borderId="14" xfId="0" applyFont="1" applyBorder="1" applyAlignment="1">
      <alignment horizontal="center" vertical="center"/>
    </xf>
    <xf numFmtId="0" fontId="77" fillId="0" borderId="74" xfId="0" applyFont="1" applyBorder="1" applyAlignment="1">
      <alignment horizontal="center" vertical="center"/>
    </xf>
    <xf numFmtId="0" fontId="77" fillId="0" borderId="75" xfId="0" applyFont="1" applyBorder="1" applyAlignment="1">
      <alignment horizontal="center" vertical="center"/>
    </xf>
    <xf numFmtId="0" fontId="77" fillId="0" borderId="7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0" borderId="67" xfId="0" applyFont="1" applyBorder="1" applyAlignment="1">
      <alignment horizontal="center" vertical="center"/>
    </xf>
    <xf numFmtId="0" fontId="76" fillId="0" borderId="9" xfId="0" applyFont="1" applyBorder="1" applyAlignment="1">
      <alignment horizontal="center" vertical="center"/>
    </xf>
    <xf numFmtId="0" fontId="27" fillId="0" borderId="74" xfId="0" applyFont="1" applyBorder="1"/>
    <xf numFmtId="0" fontId="27" fillId="0" borderId="67" xfId="0" applyFont="1" applyBorder="1"/>
    <xf numFmtId="0" fontId="77" fillId="0" borderId="0" xfId="0" applyFont="1" applyFill="1" applyBorder="1" applyAlignment="1">
      <alignment horizontal="center" vertical="center"/>
    </xf>
    <xf numFmtId="0" fontId="11" fillId="0" borderId="66" xfId="1" applyFont="1" applyFill="1" applyBorder="1" applyAlignment="1">
      <alignment horizontal="center"/>
    </xf>
    <xf numFmtId="0" fontId="11" fillId="0" borderId="9" xfId="1" applyFont="1" applyFill="1" applyBorder="1" applyAlignment="1">
      <alignment horizontal="center"/>
    </xf>
    <xf numFmtId="0" fontId="58" fillId="0" borderId="9" xfId="1" applyFont="1" applyFill="1" applyBorder="1" applyAlignment="1">
      <alignment horizontal="center"/>
    </xf>
    <xf numFmtId="0" fontId="11" fillId="0" borderId="14" xfId="1" applyFont="1" applyFill="1" applyBorder="1" applyAlignment="1">
      <alignment horizontal="center"/>
    </xf>
    <xf numFmtId="0" fontId="60" fillId="0" borderId="14" xfId="1" applyFont="1" applyFill="1" applyBorder="1" applyAlignment="1">
      <alignment horizontal="center"/>
    </xf>
    <xf numFmtId="0" fontId="58" fillId="0" borderId="14" xfId="1" applyFont="1" applyFill="1" applyBorder="1" applyAlignment="1">
      <alignment horizontal="center"/>
    </xf>
    <xf numFmtId="0" fontId="11" fillId="0" borderId="67" xfId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0" fillId="0" borderId="0" xfId="1" applyFont="1" applyFill="1" applyBorder="1" applyAlignment="1">
      <alignment horizontal="center"/>
    </xf>
    <xf numFmtId="0" fontId="79" fillId="0" borderId="0" xfId="0" applyFont="1"/>
    <xf numFmtId="0" fontId="77" fillId="0" borderId="0" xfId="0" applyFont="1"/>
    <xf numFmtId="0" fontId="77" fillId="0" borderId="0" xfId="0" applyFont="1" applyFill="1" applyAlignment="1">
      <alignment horizontal="center" vertical="center"/>
    </xf>
    <xf numFmtId="0" fontId="77" fillId="0" borderId="67" xfId="0" applyFont="1" applyFill="1" applyBorder="1" applyAlignment="1">
      <alignment horizontal="center" vertical="center"/>
    </xf>
    <xf numFmtId="0" fontId="77" fillId="0" borderId="72" xfId="0" applyFont="1" applyFill="1" applyBorder="1" applyAlignment="1">
      <alignment horizontal="center" vertical="center"/>
    </xf>
    <xf numFmtId="0" fontId="77" fillId="0" borderId="14" xfId="0" applyFont="1" applyFill="1" applyBorder="1" applyAlignment="1">
      <alignment horizontal="center" vertical="center"/>
    </xf>
    <xf numFmtId="0" fontId="76" fillId="0" borderId="14" xfId="0" applyFont="1" applyFill="1" applyBorder="1" applyAlignment="1">
      <alignment horizontal="center" vertical="center"/>
    </xf>
    <xf numFmtId="0" fontId="77" fillId="0" borderId="13" xfId="0" applyFont="1" applyFill="1" applyBorder="1" applyAlignment="1">
      <alignment horizontal="center" vertical="center"/>
    </xf>
    <xf numFmtId="0" fontId="77" fillId="0" borderId="66" xfId="0" applyFont="1" applyFill="1" applyBorder="1" applyAlignment="1">
      <alignment horizontal="center" vertical="center"/>
    </xf>
    <xf numFmtId="0" fontId="77" fillId="0" borderId="9" xfId="0" applyFont="1" applyFill="1" applyBorder="1" applyAlignment="1">
      <alignment horizontal="center" vertical="center"/>
    </xf>
    <xf numFmtId="0" fontId="77" fillId="0" borderId="70" xfId="0" applyFont="1" applyFill="1" applyBorder="1" applyAlignment="1">
      <alignment horizontal="center" vertical="center"/>
    </xf>
    <xf numFmtId="0" fontId="78" fillId="0" borderId="73" xfId="0" applyFont="1" applyFill="1" applyBorder="1" applyAlignment="1">
      <alignment horizontal="center" vertical="center"/>
    </xf>
    <xf numFmtId="0" fontId="76" fillId="0" borderId="70" xfId="0" applyFont="1" applyFill="1" applyBorder="1" applyAlignment="1">
      <alignment horizontal="center" vertical="center"/>
    </xf>
    <xf numFmtId="0" fontId="77" fillId="0" borderId="73" xfId="0" applyFont="1" applyFill="1" applyBorder="1" applyAlignment="1">
      <alignment horizontal="center" vertical="center"/>
    </xf>
    <xf numFmtId="0" fontId="80" fillId="4" borderId="0" xfId="0" applyFont="1" applyFill="1" applyBorder="1"/>
    <xf numFmtId="0" fontId="81" fillId="4" borderId="0" xfId="0" applyFont="1" applyFill="1"/>
    <xf numFmtId="0" fontId="80" fillId="4" borderId="0" xfId="0" applyFont="1" applyFill="1"/>
    <xf numFmtId="0" fontId="76" fillId="0" borderId="66" xfId="0" applyFont="1" applyBorder="1" applyAlignment="1">
      <alignment horizontal="left" vertical="center"/>
    </xf>
    <xf numFmtId="0" fontId="76" fillId="0" borderId="0" xfId="0" applyFont="1" applyFill="1" applyBorder="1" applyAlignment="1">
      <alignment horizontal="center" vertical="center"/>
    </xf>
    <xf numFmtId="0" fontId="76" fillId="0" borderId="72" xfId="0" applyFont="1" applyFill="1" applyBorder="1" applyAlignment="1">
      <alignment horizontal="center" vertical="center"/>
    </xf>
    <xf numFmtId="0" fontId="30" fillId="0" borderId="0" xfId="0" applyFont="1"/>
    <xf numFmtId="0" fontId="8" fillId="0" borderId="0" xfId="0" applyFont="1"/>
    <xf numFmtId="0" fontId="8" fillId="0" borderId="0" xfId="1" applyFont="1" applyFill="1" applyBorder="1" applyAlignment="1">
      <alignment horizontal="center"/>
    </xf>
    <xf numFmtId="0" fontId="8" fillId="0" borderId="0" xfId="0" applyFont="1" applyFill="1" applyBorder="1"/>
    <xf numFmtId="0" fontId="82" fillId="0" borderId="0" xfId="0" applyFont="1" applyBorder="1"/>
    <xf numFmtId="0" fontId="8" fillId="0" borderId="0" xfId="0" applyFont="1" applyFill="1" applyBorder="1" applyAlignment="1">
      <alignment horizontal="center"/>
    </xf>
    <xf numFmtId="0" fontId="8" fillId="0" borderId="0" xfId="0" applyFont="1" applyBorder="1"/>
    <xf numFmtId="0" fontId="83" fillId="0" borderId="0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center"/>
    </xf>
    <xf numFmtId="0" fontId="84" fillId="0" borderId="0" xfId="0" applyFont="1" applyBorder="1"/>
    <xf numFmtId="0" fontId="85" fillId="0" borderId="0" xfId="2" applyFont="1" applyFill="1" applyBorder="1" applyAlignment="1" applyProtection="1">
      <alignment horizontal="center"/>
    </xf>
    <xf numFmtId="0" fontId="86" fillId="0" borderId="0" xfId="1" applyFont="1" applyFill="1" applyBorder="1" applyAlignment="1">
      <alignment horizontal="center"/>
    </xf>
    <xf numFmtId="0" fontId="85" fillId="0" borderId="0" xfId="1" applyFont="1" applyFill="1" applyBorder="1" applyAlignment="1">
      <alignment horizontal="center"/>
    </xf>
    <xf numFmtId="0" fontId="82" fillId="0" borderId="0" xfId="0" applyFont="1"/>
    <xf numFmtId="0" fontId="28" fillId="2" borderId="0" xfId="0" applyFont="1" applyFill="1" applyAlignment="1" applyProtection="1">
      <alignment vertical="center"/>
    </xf>
    <xf numFmtId="0" fontId="14" fillId="0" borderId="0" xfId="0" applyFont="1" applyFill="1" applyBorder="1" applyAlignment="1">
      <alignment horizontal="center"/>
    </xf>
    <xf numFmtId="0" fontId="66" fillId="0" borderId="0" xfId="0" applyFont="1" applyBorder="1" applyAlignment="1"/>
    <xf numFmtId="0" fontId="14" fillId="0" borderId="0" xfId="0" applyFont="1" applyBorder="1" applyAlignment="1"/>
    <xf numFmtId="0" fontId="14" fillId="0" borderId="0" xfId="7" applyFont="1" applyBorder="1" applyAlignment="1"/>
    <xf numFmtId="0" fontId="66" fillId="0" borderId="0" xfId="0" applyFont="1" applyBorder="1"/>
    <xf numFmtId="0" fontId="47" fillId="0" borderId="0" xfId="0" applyFont="1" applyFill="1" applyBorder="1" applyAlignment="1">
      <alignment horizontal="center"/>
    </xf>
    <xf numFmtId="164" fontId="5" fillId="9" borderId="71" xfId="0" applyNumberFormat="1" applyFont="1" applyFill="1" applyBorder="1" applyAlignment="1" applyProtection="1">
      <alignment horizontal="center"/>
    </xf>
    <xf numFmtId="0" fontId="25" fillId="0" borderId="39" xfId="0" applyFont="1" applyFill="1" applyBorder="1" applyAlignment="1" applyProtection="1">
      <alignment horizontal="center"/>
    </xf>
    <xf numFmtId="0" fontId="25" fillId="0" borderId="27" xfId="0" applyFont="1" applyFill="1" applyBorder="1" applyAlignment="1" applyProtection="1">
      <alignment horizontal="center"/>
    </xf>
    <xf numFmtId="0" fontId="25" fillId="0" borderId="24" xfId="0" applyFont="1" applyFill="1" applyBorder="1" applyAlignment="1" applyProtection="1">
      <alignment horizontal="center"/>
    </xf>
    <xf numFmtId="0" fontId="22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27" fillId="0" borderId="73" xfId="0" applyFont="1" applyBorder="1" applyProtection="1">
      <protection locked="0"/>
    </xf>
    <xf numFmtId="0" fontId="27" fillId="0" borderId="0" xfId="0" applyFont="1" applyBorder="1" applyProtection="1">
      <protection locked="0"/>
    </xf>
    <xf numFmtId="0" fontId="27" fillId="0" borderId="70" xfId="0" applyFont="1" applyBorder="1" applyProtection="1">
      <protection locked="0"/>
    </xf>
    <xf numFmtId="0" fontId="27" fillId="0" borderId="0" xfId="0" applyFont="1" applyFill="1" applyBorder="1" applyProtection="1">
      <protection locked="0"/>
    </xf>
    <xf numFmtId="0" fontId="30" fillId="4" borderId="38" xfId="0" applyFont="1" applyFill="1" applyBorder="1" applyAlignment="1">
      <alignment horizontal="center"/>
    </xf>
  </cellXfs>
  <cellStyles count="8">
    <cellStyle name="Currency 2" xfId="3"/>
    <cellStyle name="Currency 3" xfId="5"/>
    <cellStyle name="Hyperlink" xfId="2" builtinId="8"/>
    <cellStyle name="Hyperlink 2" xfId="6"/>
    <cellStyle name="Normal" xfId="0" builtinId="0"/>
    <cellStyle name="Normal 2" xfId="1"/>
    <cellStyle name="Normal 3" xfId="4"/>
    <cellStyle name="Normal 4" xfId="7"/>
  </cellStyles>
  <dxfs count="0"/>
  <tableStyles count="0" defaultTableStyle="TableStyleMedium9" defaultPivotStyle="PivotStyleLight16"/>
  <colors>
    <mruColors>
      <color rgb="FF0000FF"/>
      <color rgb="FFCC0000"/>
      <color rgb="FFFF99FF"/>
      <color rgb="FFC0DEAC"/>
      <color rgb="FF00CC00"/>
      <color rgb="FF009900"/>
      <color rgb="FFFF3399"/>
      <color rgb="FF9DBEE7"/>
      <color rgb="FF0066FF"/>
      <color rgb="FF8DB4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38100</xdr:colOff>
      <xdr:row>0</xdr:row>
      <xdr:rowOff>76199</xdr:rowOff>
    </xdr:from>
    <xdr:to>
      <xdr:col>35</xdr:col>
      <xdr:colOff>80962</xdr:colOff>
      <xdr:row>2</xdr:row>
      <xdr:rowOff>890587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431250" y="76199"/>
          <a:ext cx="10310812" cy="16144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dk1"/>
              </a:solidFill>
              <a:latin typeface="+mn-lt"/>
              <a:ea typeface="+mn-ea"/>
              <a:cs typeface="+mn-cs"/>
            </a:rPr>
            <a:t>Always make sure you protect the spreadsheet before you enter numbers. The BOX between PROTECT and UNPROTECT must be RED. If you type into a PROTECTED cell back space to replace the formula or copy paste the formula from the above cell.  Instructions Below                                    </a:t>
          </a:r>
        </a:p>
        <a:p>
          <a:endParaRPr lang="en-US" sz="20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342900</xdr:colOff>
      <xdr:row>0</xdr:row>
      <xdr:rowOff>266700</xdr:rowOff>
    </xdr:from>
    <xdr:to>
      <xdr:col>7</xdr:col>
      <xdr:colOff>57150</xdr:colOff>
      <xdr:row>2</xdr:row>
      <xdr:rowOff>285750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924550" y="266700"/>
          <a:ext cx="2209800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3600">
              <a:solidFill>
                <a:srgbClr val="FF0000"/>
              </a:solidFill>
            </a:rPr>
            <a:t>  7 Plus Pts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827314</xdr:colOff>
      <xdr:row>0</xdr:row>
      <xdr:rowOff>0</xdr:rowOff>
    </xdr:from>
    <xdr:to>
      <xdr:col>27</xdr:col>
      <xdr:colOff>2699657</xdr:colOff>
      <xdr:row>2</xdr:row>
      <xdr:rowOff>348343</xdr:rowOff>
    </xdr:to>
    <xdr:sp macro="" textlink="">
      <xdr:nvSpPr>
        <xdr:cNvPr id="3" name="TextBox 2"/>
        <xdr:cNvSpPr txBox="1"/>
      </xdr:nvSpPr>
      <xdr:spPr>
        <a:xfrm>
          <a:off x="74414743" y="522514"/>
          <a:ext cx="4136571" cy="15457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n-US" sz="3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tabColor rgb="FFFF3399"/>
  </sheetPr>
  <dimension ref="A1:AW246"/>
  <sheetViews>
    <sheetView showGridLines="0" showZeros="0" tabSelected="1" zoomScale="40" zoomScaleNormal="40" zoomScaleSheetLayoutView="40" workbookViewId="0">
      <pane ySplit="10" topLeftCell="A11" activePane="bottomLeft" state="frozen"/>
      <selection pane="bottomLeft" activeCell="H24" sqref="H24"/>
    </sheetView>
  </sheetViews>
  <sheetFormatPr defaultColWidth="9.140625" defaultRowHeight="30"/>
  <cols>
    <col min="1" max="1" width="10.5703125" style="1" customWidth="1"/>
    <col min="2" max="2" width="9.7109375" style="1" customWidth="1"/>
    <col min="3" max="3" width="48.140625" style="1" customWidth="1"/>
    <col min="4" max="5" width="13.140625" style="1" customWidth="1"/>
    <col min="6" max="6" width="10.5703125" style="1" customWidth="1"/>
    <col min="7" max="7" width="12.85546875" style="1" customWidth="1"/>
    <col min="8" max="9" width="12.42578125" style="2" customWidth="1"/>
    <col min="10" max="11" width="10.5703125" style="2" customWidth="1"/>
    <col min="12" max="13" width="12.42578125" style="2" customWidth="1"/>
    <col min="14" max="15" width="10.5703125" style="2" customWidth="1"/>
    <col min="16" max="17" width="12.7109375" style="2" customWidth="1"/>
    <col min="18" max="18" width="10.5703125" style="2" customWidth="1"/>
    <col min="19" max="19" width="12.85546875" style="2" customWidth="1"/>
    <col min="20" max="21" width="12.7109375" style="1" customWidth="1"/>
    <col min="22" max="22" width="18.28515625" style="73" customWidth="1"/>
    <col min="23" max="23" width="9.140625" style="73" customWidth="1"/>
    <col min="24" max="24" width="17.85546875" style="56" bestFit="1" customWidth="1"/>
    <col min="25" max="25" width="9.140625" style="56" customWidth="1"/>
    <col min="26" max="26" width="9.140625" style="1"/>
    <col min="27" max="27" width="21.5703125" style="142" bestFit="1" customWidth="1"/>
    <col min="28" max="28" width="12.7109375" style="142" customWidth="1"/>
    <col min="29" max="29" width="6.85546875" style="159" customWidth="1"/>
    <col min="30" max="30" width="6.140625" style="159" customWidth="1"/>
    <col min="31" max="31" width="22.28515625" style="142" bestFit="1" customWidth="1"/>
    <col min="32" max="32" width="12.7109375" style="142" customWidth="1"/>
    <col min="33" max="33" width="6.5703125" style="159" customWidth="1"/>
    <col min="34" max="34" width="9.85546875" style="159" customWidth="1"/>
    <col min="35" max="36" width="14.28515625" style="142" customWidth="1"/>
    <col min="37" max="37" width="6.5703125" style="159" customWidth="1"/>
    <col min="38" max="38" width="5.5703125" style="159" customWidth="1"/>
    <col min="39" max="39" width="22.28515625" style="142" bestFit="1" customWidth="1"/>
    <col min="40" max="40" width="12.7109375" style="142" customWidth="1"/>
    <col min="41" max="42" width="5.7109375" style="159" customWidth="1"/>
    <col min="43" max="44" width="4.7109375" style="159" customWidth="1"/>
    <col min="45" max="46" width="4.7109375" style="166" customWidth="1"/>
    <col min="47" max="47" width="4.5703125" style="166" customWidth="1"/>
    <col min="48" max="49" width="9.140625" style="166"/>
    <col min="50" max="53" width="9.140625" style="1"/>
    <col min="54" max="54" width="9.140625" style="1" customWidth="1"/>
    <col min="55" max="16384" width="9.140625" style="1"/>
  </cols>
  <sheetData>
    <row r="1" spans="1:49" s="89" customFormat="1" ht="34.9" customHeight="1">
      <c r="A1" s="507"/>
      <c r="B1" s="210"/>
      <c r="C1" s="210"/>
      <c r="D1" s="210"/>
      <c r="E1" s="210"/>
      <c r="F1" s="210"/>
      <c r="G1" s="210"/>
      <c r="H1" s="210"/>
      <c r="I1" s="388"/>
      <c r="J1" s="388"/>
      <c r="K1" s="389"/>
      <c r="L1" s="211"/>
      <c r="M1" s="211"/>
      <c r="N1" s="211"/>
      <c r="O1" s="211"/>
      <c r="P1" s="211"/>
      <c r="Q1" s="211"/>
      <c r="R1" s="211"/>
      <c r="S1" s="211"/>
      <c r="T1" s="96"/>
      <c r="U1" s="96"/>
      <c r="V1" s="98"/>
      <c r="W1" s="98"/>
      <c r="X1" s="99"/>
      <c r="Y1" s="99"/>
      <c r="Z1" s="232"/>
      <c r="AA1" s="140"/>
      <c r="AB1" s="140"/>
      <c r="AC1" s="157"/>
      <c r="AD1" s="157"/>
      <c r="AE1" s="140"/>
      <c r="AF1" s="140"/>
      <c r="AG1" s="157"/>
      <c r="AH1" s="157"/>
      <c r="AI1" s="140"/>
      <c r="AJ1" s="140"/>
      <c r="AK1" s="157"/>
      <c r="AL1" s="157"/>
      <c r="AM1" s="140"/>
      <c r="AN1" s="140"/>
      <c r="AO1" s="157"/>
      <c r="AP1" s="157"/>
      <c r="AQ1" s="157"/>
      <c r="AR1" s="157"/>
      <c r="AS1" s="164"/>
      <c r="AT1" s="164"/>
      <c r="AU1" s="164"/>
      <c r="AV1" s="164"/>
      <c r="AW1" s="164"/>
    </row>
    <row r="2" spans="1:49" s="88" customFormat="1" ht="28.15" customHeight="1" thickBot="1">
      <c r="A2" s="210"/>
      <c r="B2" s="210"/>
      <c r="C2" s="210"/>
      <c r="D2" s="210"/>
      <c r="E2" s="210"/>
      <c r="F2" s="212"/>
      <c r="G2" s="212"/>
      <c r="H2" s="212"/>
      <c r="I2" s="214"/>
      <c r="J2" s="214"/>
      <c r="K2" s="214"/>
      <c r="L2" s="214"/>
      <c r="M2" s="212"/>
      <c r="N2" s="213"/>
      <c r="O2" s="213"/>
      <c r="P2" s="212"/>
      <c r="Q2" s="213"/>
      <c r="R2" s="213"/>
      <c r="S2" s="213"/>
      <c r="T2" s="97"/>
      <c r="U2" s="97"/>
      <c r="V2" s="100"/>
      <c r="W2" s="97"/>
      <c r="X2" s="101"/>
      <c r="Y2" s="101"/>
      <c r="Z2" s="233"/>
      <c r="AA2" s="141"/>
      <c r="AB2" s="141"/>
      <c r="AC2" s="158"/>
      <c r="AD2" s="158"/>
      <c r="AE2" s="141"/>
      <c r="AF2" s="141"/>
      <c r="AG2" s="158"/>
      <c r="AH2" s="158"/>
      <c r="AI2" s="141"/>
      <c r="AJ2" s="141"/>
      <c r="AK2" s="158"/>
      <c r="AL2" s="158"/>
      <c r="AM2" s="141"/>
      <c r="AN2" s="141"/>
      <c r="AO2" s="158"/>
      <c r="AP2" s="158"/>
      <c r="AQ2" s="158"/>
      <c r="AR2" s="158"/>
      <c r="AS2" s="165"/>
      <c r="AT2" s="165"/>
      <c r="AU2" s="165"/>
      <c r="AV2" s="165"/>
      <c r="AW2" s="165"/>
    </row>
    <row r="3" spans="1:49" ht="99.95" customHeight="1" thickBot="1">
      <c r="A3" s="215"/>
      <c r="B3" s="215"/>
      <c r="C3" s="215"/>
      <c r="D3" s="215"/>
      <c r="E3" s="215"/>
      <c r="F3" s="345" t="s">
        <v>33</v>
      </c>
      <c r="G3" s="210"/>
      <c r="H3" s="265"/>
      <c r="I3" s="265"/>
      <c r="J3" s="266"/>
      <c r="K3" s="265"/>
      <c r="L3" s="216"/>
      <c r="M3" s="216"/>
      <c r="N3" s="216"/>
      <c r="O3" s="344"/>
      <c r="P3" s="216"/>
      <c r="Q3" s="216"/>
      <c r="R3" s="216"/>
      <c r="S3" s="216"/>
      <c r="T3" s="102"/>
      <c r="U3" s="102"/>
      <c r="V3" s="103"/>
      <c r="W3" s="103"/>
      <c r="X3" s="104"/>
      <c r="Y3" s="104"/>
      <c r="Z3" s="234"/>
    </row>
    <row r="4" spans="1:49" s="95" customFormat="1" ht="18" customHeight="1" thickBot="1">
      <c r="A4" s="127"/>
      <c r="B4" s="106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06"/>
      <c r="S4" s="106"/>
      <c r="T4" s="106"/>
      <c r="U4" s="106"/>
      <c r="V4" s="128"/>
      <c r="W4" s="128"/>
      <c r="X4" s="129"/>
      <c r="Y4" s="107"/>
      <c r="Z4" s="235"/>
      <c r="AA4" s="143"/>
      <c r="AB4" s="142"/>
      <c r="AC4" s="160"/>
      <c r="AD4" s="160"/>
      <c r="AE4" s="143"/>
      <c r="AF4" s="143"/>
      <c r="AG4" s="160"/>
      <c r="AH4" s="160"/>
      <c r="AI4" s="143"/>
      <c r="AJ4" s="143"/>
      <c r="AK4" s="160"/>
      <c r="AL4" s="160"/>
      <c r="AM4" s="143"/>
      <c r="AN4" s="143"/>
      <c r="AO4" s="160"/>
      <c r="AP4" s="160"/>
      <c r="AQ4" s="160"/>
      <c r="AR4" s="160"/>
      <c r="AS4" s="167"/>
      <c r="AT4" s="167"/>
      <c r="AU4" s="167"/>
      <c r="AV4" s="167"/>
      <c r="AW4" s="167"/>
    </row>
    <row r="5" spans="1:49" ht="92.45" customHeight="1" thickBot="1">
      <c r="A5" s="130"/>
      <c r="B5" s="105"/>
      <c r="C5" s="246"/>
      <c r="D5" s="339" t="s">
        <v>35</v>
      </c>
      <c r="E5" s="340"/>
      <c r="F5" s="340"/>
      <c r="G5" s="340"/>
      <c r="H5" s="340"/>
      <c r="I5" s="340"/>
      <c r="J5" s="341"/>
      <c r="K5" s="340"/>
      <c r="L5" s="340"/>
      <c r="M5" s="340"/>
      <c r="N5" s="341"/>
      <c r="O5" s="340"/>
      <c r="P5" s="340"/>
      <c r="Q5" s="340"/>
      <c r="R5" s="342"/>
      <c r="S5" s="342"/>
      <c r="T5" s="343"/>
      <c r="U5" s="105"/>
      <c r="V5" s="93"/>
      <c r="W5" s="93"/>
      <c r="X5" s="94"/>
      <c r="Y5" s="108"/>
      <c r="Z5" s="236"/>
    </row>
    <row r="6" spans="1:49" ht="18.600000000000001" customHeight="1">
      <c r="A6" s="131"/>
      <c r="B6" s="109"/>
      <c r="C6" s="105"/>
      <c r="D6" s="110"/>
      <c r="E6" s="110"/>
      <c r="F6" s="110"/>
      <c r="G6" s="110"/>
      <c r="H6" s="111"/>
      <c r="I6" s="111"/>
      <c r="J6" s="111"/>
      <c r="K6" s="111"/>
      <c r="L6" s="111"/>
      <c r="M6" s="111"/>
      <c r="N6" s="111"/>
      <c r="O6" s="111"/>
      <c r="P6" s="110"/>
      <c r="Q6" s="110"/>
      <c r="R6" s="110"/>
      <c r="S6" s="110"/>
      <c r="T6" s="105"/>
      <c r="U6" s="105"/>
      <c r="V6" s="93"/>
      <c r="W6" s="93"/>
      <c r="X6" s="94"/>
      <c r="Y6" s="108"/>
      <c r="Z6" s="234"/>
    </row>
    <row r="7" spans="1:49" ht="25.9" customHeight="1" thickBot="1">
      <c r="A7" s="132"/>
      <c r="B7" s="249"/>
      <c r="C7" s="250"/>
      <c r="D7" s="250"/>
      <c r="E7" s="251"/>
      <c r="F7" s="251"/>
      <c r="G7" s="253"/>
      <c r="H7" s="252"/>
      <c r="I7" s="251"/>
      <c r="J7" s="133"/>
      <c r="K7" s="133"/>
      <c r="L7" s="134"/>
      <c r="M7" s="133"/>
      <c r="N7" s="133"/>
      <c r="O7" s="133"/>
      <c r="P7" s="134"/>
      <c r="Q7" s="133"/>
      <c r="R7" s="133"/>
      <c r="S7" s="133"/>
      <c r="T7" s="135"/>
      <c r="U7" s="135"/>
      <c r="V7" s="136"/>
      <c r="W7" s="136"/>
      <c r="X7" s="137"/>
      <c r="Y7" s="138"/>
      <c r="Z7" s="234"/>
    </row>
    <row r="8" spans="1:49" s="58" customFormat="1" ht="45">
      <c r="A8" s="184"/>
      <c r="B8" s="351"/>
      <c r="C8" s="185"/>
      <c r="D8" s="186"/>
      <c r="E8" s="154" t="s">
        <v>5</v>
      </c>
      <c r="F8" s="118"/>
      <c r="G8" s="123"/>
      <c r="H8" s="187"/>
      <c r="I8" s="154" t="s">
        <v>10</v>
      </c>
      <c r="J8" s="118"/>
      <c r="K8" s="123"/>
      <c r="L8" s="187"/>
      <c r="M8" s="154" t="s">
        <v>9</v>
      </c>
      <c r="N8" s="118"/>
      <c r="O8" s="123"/>
      <c r="P8" s="187"/>
      <c r="Q8" s="154" t="s">
        <v>8</v>
      </c>
      <c r="R8" s="118"/>
      <c r="S8" s="123"/>
      <c r="T8" s="188"/>
      <c r="U8" s="189"/>
      <c r="V8" s="119" t="s">
        <v>24</v>
      </c>
      <c r="W8" s="119"/>
      <c r="X8" s="117"/>
      <c r="Y8" s="156"/>
      <c r="Z8" s="237"/>
      <c r="AA8" s="144"/>
      <c r="AB8" s="190"/>
      <c r="AC8" s="161"/>
      <c r="AD8" s="161"/>
      <c r="AE8" s="144"/>
      <c r="AF8" s="144"/>
      <c r="AG8" s="161"/>
      <c r="AH8" s="161"/>
      <c r="AI8" s="144"/>
      <c r="AJ8" s="144"/>
      <c r="AK8" s="161"/>
      <c r="AL8" s="161"/>
      <c r="AM8" s="144"/>
      <c r="AN8" s="144"/>
      <c r="AO8" s="161"/>
      <c r="AP8" s="161"/>
      <c r="AQ8" s="161"/>
      <c r="AR8" s="161"/>
      <c r="AS8" s="191"/>
      <c r="AT8" s="191"/>
      <c r="AU8" s="191"/>
      <c r="AV8" s="191"/>
      <c r="AW8" s="191"/>
    </row>
    <row r="9" spans="1:49" s="59" customFormat="1" ht="24" customHeight="1">
      <c r="A9" s="120"/>
      <c r="B9" s="239" t="s">
        <v>26</v>
      </c>
      <c r="C9" s="60"/>
      <c r="D9" s="112" t="s">
        <v>7</v>
      </c>
      <c r="E9" s="113"/>
      <c r="F9" s="114" t="s">
        <v>4</v>
      </c>
      <c r="G9" s="124" t="s">
        <v>6</v>
      </c>
      <c r="H9" s="112" t="s">
        <v>7</v>
      </c>
      <c r="I9" s="113"/>
      <c r="J9" s="114" t="s">
        <v>4</v>
      </c>
      <c r="K9" s="124" t="s">
        <v>6</v>
      </c>
      <c r="L9" s="112" t="s">
        <v>7</v>
      </c>
      <c r="M9" s="113"/>
      <c r="N9" s="114" t="s">
        <v>4</v>
      </c>
      <c r="O9" s="124" t="s">
        <v>6</v>
      </c>
      <c r="P9" s="112" t="s">
        <v>7</v>
      </c>
      <c r="Q9" s="113"/>
      <c r="R9" s="114" t="s">
        <v>4</v>
      </c>
      <c r="S9" s="124" t="s">
        <v>6</v>
      </c>
      <c r="T9" s="112" t="s">
        <v>3</v>
      </c>
      <c r="U9" s="126"/>
      <c r="V9" s="116" t="s">
        <v>4</v>
      </c>
      <c r="W9" s="116" t="s">
        <v>6</v>
      </c>
      <c r="X9" s="115" t="s">
        <v>11</v>
      </c>
      <c r="Y9" s="116"/>
      <c r="Z9" s="238"/>
      <c r="AA9" s="144" t="s">
        <v>5</v>
      </c>
      <c r="AC9" s="161"/>
      <c r="AD9" s="161"/>
      <c r="AE9" s="144" t="s">
        <v>10</v>
      </c>
      <c r="AG9" s="161"/>
      <c r="AH9" s="161"/>
      <c r="AI9" s="144" t="s">
        <v>9</v>
      </c>
      <c r="AK9" s="161"/>
      <c r="AL9" s="161"/>
      <c r="AM9" s="144" t="s">
        <v>8</v>
      </c>
      <c r="AO9" s="161"/>
      <c r="AP9" s="161"/>
      <c r="AQ9" s="161"/>
      <c r="AR9" s="161"/>
      <c r="AS9" s="168"/>
      <c r="AT9" s="168"/>
      <c r="AU9" s="168"/>
      <c r="AV9" s="168"/>
      <c r="AW9" s="168"/>
    </row>
    <row r="10" spans="1:49" s="59" customFormat="1" ht="36" thickBot="1">
      <c r="A10" s="139"/>
      <c r="B10" s="220" t="s">
        <v>0</v>
      </c>
      <c r="C10" s="122" t="s">
        <v>15</v>
      </c>
      <c r="D10" s="92" t="s">
        <v>1</v>
      </c>
      <c r="E10" s="62" t="s">
        <v>2</v>
      </c>
      <c r="F10" s="62" t="s">
        <v>13</v>
      </c>
      <c r="G10" s="125" t="s">
        <v>13</v>
      </c>
      <c r="H10" s="92" t="s">
        <v>1</v>
      </c>
      <c r="I10" s="62" t="s">
        <v>2</v>
      </c>
      <c r="J10" s="62" t="s">
        <v>13</v>
      </c>
      <c r="K10" s="125" t="s">
        <v>13</v>
      </c>
      <c r="L10" s="92" t="s">
        <v>1</v>
      </c>
      <c r="M10" s="62" t="s">
        <v>2</v>
      </c>
      <c r="N10" s="62" t="s">
        <v>13</v>
      </c>
      <c r="O10" s="125" t="s">
        <v>13</v>
      </c>
      <c r="P10" s="92" t="s">
        <v>1</v>
      </c>
      <c r="Q10" s="62" t="s">
        <v>2</v>
      </c>
      <c r="R10" s="62" t="s">
        <v>13</v>
      </c>
      <c r="S10" s="125" t="s">
        <v>13</v>
      </c>
      <c r="T10" s="92" t="s">
        <v>1</v>
      </c>
      <c r="U10" s="125" t="s">
        <v>2</v>
      </c>
      <c r="V10" s="352" t="s">
        <v>13</v>
      </c>
      <c r="W10" s="352" t="s">
        <v>13</v>
      </c>
      <c r="X10" s="352" t="s">
        <v>12</v>
      </c>
      <c r="Y10" s="524" t="s">
        <v>14</v>
      </c>
      <c r="Z10" s="238"/>
      <c r="AA10" s="144"/>
      <c r="AB10" s="144"/>
      <c r="AC10" s="161"/>
      <c r="AD10" s="161"/>
      <c r="AE10" s="144"/>
      <c r="AF10" s="144"/>
      <c r="AG10" s="161"/>
      <c r="AH10" s="161"/>
      <c r="AI10" s="144"/>
      <c r="AJ10" s="144"/>
      <c r="AK10" s="161"/>
      <c r="AL10" s="161"/>
      <c r="AM10" s="144"/>
      <c r="AN10" s="144"/>
      <c r="AO10" s="161"/>
      <c r="AP10" s="161"/>
      <c r="AQ10" s="161"/>
      <c r="AR10" s="161"/>
      <c r="AS10" s="168"/>
      <c r="AT10" s="168"/>
      <c r="AU10" s="168"/>
      <c r="AV10" s="168"/>
      <c r="AW10" s="168"/>
    </row>
    <row r="11" spans="1:49" s="42" customFormat="1" ht="34.15" customHeight="1">
      <c r="A11" s="270">
        <v>1</v>
      </c>
      <c r="B11" s="258"/>
      <c r="C11" s="309"/>
      <c r="D11" s="276"/>
      <c r="E11" s="275"/>
      <c r="F11" s="90">
        <f t="shared" ref="F11:F42" si="0">IF((D11+E11)&lt;1,0,IF(D11&gt;E11,3,IF(D11=E11,1,0)))</f>
        <v>0</v>
      </c>
      <c r="G11" s="91">
        <f t="shared" ref="G11:G42" si="1">IF(D11&gt;(E11+7),7,IF((D11+7)&lt;E11,-7,D11-E11))</f>
        <v>0</v>
      </c>
      <c r="H11" s="260"/>
      <c r="I11" s="258"/>
      <c r="J11" s="90">
        <f t="shared" ref="J11:J42" si="2">IF((H11+I11)&lt;1,0,IF(H11&gt;I11,3,IF(H11=I11,1,0)))</f>
        <v>0</v>
      </c>
      <c r="K11" s="91">
        <f t="shared" ref="K11:K42" si="3">IF(H11&gt;(I11+7),7,IF((H11+7)&lt;I11,-7,H11-I11))</f>
        <v>0</v>
      </c>
      <c r="L11" s="292"/>
      <c r="M11" s="290"/>
      <c r="N11" s="90">
        <f t="shared" ref="N11:N42" si="4">IF((L11+M11)&lt;1,0,IF(L11&gt;M11,3,IF(L11=M11,1,0)))</f>
        <v>0</v>
      </c>
      <c r="O11" s="91">
        <f t="shared" ref="O11:O42" si="5">IF(L11&gt;(M11+7),7,IF((L11+7)&lt;M11,-7,L11-M11))</f>
        <v>0</v>
      </c>
      <c r="P11" s="292"/>
      <c r="Q11" s="290"/>
      <c r="R11" s="90">
        <f t="shared" ref="R11:R42" si="6">IF((P11+Q11)&lt;1,0,IF(P11&gt;Q11,3,IF(P11=Q11,1,0)))</f>
        <v>0</v>
      </c>
      <c r="S11" s="91">
        <f t="shared" ref="S11:S42" si="7">IF(P11&gt;(Q11+7),7,IF((P11+7)&lt;Q11,-7,P11-Q11))</f>
        <v>0</v>
      </c>
      <c r="T11" s="347">
        <f t="shared" ref="T11:T42" si="8">+D11+H11+L11+P11</f>
        <v>0</v>
      </c>
      <c r="U11" s="348">
        <f t="shared" ref="U11:U42" si="9">+E11+I11+M11+Q11</f>
        <v>0</v>
      </c>
      <c r="V11" s="349">
        <f t="shared" ref="V11:V42" si="10">+F11+J11+N11+R11+Z11</f>
        <v>-1</v>
      </c>
      <c r="W11" s="350">
        <f t="shared" ref="W11:W42" si="11">G11+K11+O11+S11</f>
        <v>0</v>
      </c>
      <c r="X11" s="514">
        <f t="shared" ref="X11:X42" si="12">IF((T11+U11)&lt;1,0,+T11/(T11+U11))</f>
        <v>0</v>
      </c>
      <c r="Y11" s="515">
        <v>1</v>
      </c>
      <c r="Z11" s="61">
        <f t="shared" ref="Z11:Z73" si="13">IF((X11)&lt;0.01,-1,0)</f>
        <v>-1</v>
      </c>
      <c r="AA11" s="142">
        <f t="shared" ref="AA11:AA74" si="14">+IF((D11&lt;E11),FALSE,D11-IF((D11=E11),D11/2))</f>
        <v>0</v>
      </c>
      <c r="AB11" s="142">
        <f t="shared" ref="AB11:AB74" si="15">IF((E11&gt;D11),FALSE,E11)-IF((D11=E11),E11/2,0)</f>
        <v>0</v>
      </c>
      <c r="AC11" s="159"/>
      <c r="AD11" s="159"/>
      <c r="AE11" s="142">
        <f t="shared" ref="AE11:AE74" si="16">+IF((H11&lt;I11),FALSE,H11-IF((H11=I11),H11/2))</f>
        <v>0</v>
      </c>
      <c r="AF11" s="142">
        <f t="shared" ref="AF11:AF74" si="17">IF((I11&gt;H11),FALSE,I11)-IF((H11=I11),I11/2,0)</f>
        <v>0</v>
      </c>
      <c r="AG11" s="159"/>
      <c r="AH11" s="159"/>
      <c r="AI11" s="142">
        <f t="shared" ref="AI11:AI74" si="18">+IF((L11&lt;M11),FALSE,L11-IF((L11=M11),L11/2))</f>
        <v>0</v>
      </c>
      <c r="AJ11" s="142">
        <f t="shared" ref="AJ11:AJ74" si="19">IF((M11&gt;L11),FALSE,M11)-IF((L11=M11),M11/2,0)</f>
        <v>0</v>
      </c>
      <c r="AK11" s="159"/>
      <c r="AL11" s="159"/>
      <c r="AM11" s="142">
        <f t="shared" ref="AM11:AM74" si="20">+IF((P11&lt;Q11),FALSE,P11-IF((P11=Q11),P11/2))</f>
        <v>0</v>
      </c>
      <c r="AN11" s="142">
        <f t="shared" ref="AN11:AN74" si="21">IF((Q11&gt;P11),FALSE,Q11)-IF((P11=Q11),Q11/2,0)</f>
        <v>0</v>
      </c>
      <c r="AO11" s="159"/>
      <c r="AP11" s="159"/>
      <c r="AQ11" s="159"/>
      <c r="AR11" s="159"/>
      <c r="AS11" s="169"/>
      <c r="AT11" s="169"/>
      <c r="AU11" s="169"/>
      <c r="AV11" s="169"/>
      <c r="AW11" s="169"/>
    </row>
    <row r="12" spans="1:49" s="42" customFormat="1" ht="34.15" customHeight="1">
      <c r="A12" s="270">
        <v>2</v>
      </c>
      <c r="B12" s="258"/>
      <c r="C12" s="311"/>
      <c r="D12" s="276"/>
      <c r="E12" s="275"/>
      <c r="F12" s="84">
        <f t="shared" si="0"/>
        <v>0</v>
      </c>
      <c r="G12" s="85">
        <f t="shared" si="1"/>
        <v>0</v>
      </c>
      <c r="H12" s="292"/>
      <c r="I12" s="290"/>
      <c r="J12" s="84">
        <f t="shared" si="2"/>
        <v>0</v>
      </c>
      <c r="K12" s="85">
        <f t="shared" si="3"/>
        <v>0</v>
      </c>
      <c r="L12" s="292"/>
      <c r="M12" s="290"/>
      <c r="N12" s="84">
        <f t="shared" si="4"/>
        <v>0</v>
      </c>
      <c r="O12" s="85">
        <f t="shared" si="5"/>
        <v>0</v>
      </c>
      <c r="P12" s="292"/>
      <c r="Q12" s="290"/>
      <c r="R12" s="84">
        <f t="shared" si="6"/>
        <v>0</v>
      </c>
      <c r="S12" s="85">
        <f t="shared" si="7"/>
        <v>0</v>
      </c>
      <c r="T12" s="201">
        <f t="shared" si="8"/>
        <v>0</v>
      </c>
      <c r="U12" s="205">
        <f t="shared" si="9"/>
        <v>0</v>
      </c>
      <c r="V12" s="223">
        <f t="shared" si="10"/>
        <v>-1</v>
      </c>
      <c r="W12" s="224">
        <f t="shared" si="11"/>
        <v>0</v>
      </c>
      <c r="X12" s="225">
        <f t="shared" si="12"/>
        <v>0</v>
      </c>
      <c r="Y12" s="515">
        <v>2</v>
      </c>
      <c r="Z12" s="61">
        <f t="shared" si="13"/>
        <v>-1</v>
      </c>
      <c r="AA12" s="142">
        <f t="shared" si="14"/>
        <v>0</v>
      </c>
      <c r="AB12" s="142">
        <f t="shared" si="15"/>
        <v>0</v>
      </c>
      <c r="AC12" s="159"/>
      <c r="AD12" s="159"/>
      <c r="AE12" s="142">
        <f t="shared" si="16"/>
        <v>0</v>
      </c>
      <c r="AF12" s="142">
        <f t="shared" si="17"/>
        <v>0</v>
      </c>
      <c r="AG12" s="159"/>
      <c r="AH12" s="159"/>
      <c r="AI12" s="142">
        <f t="shared" si="18"/>
        <v>0</v>
      </c>
      <c r="AJ12" s="142">
        <f t="shared" si="19"/>
        <v>0</v>
      </c>
      <c r="AK12" s="159"/>
      <c r="AL12" s="159"/>
      <c r="AM12" s="142">
        <f t="shared" si="20"/>
        <v>0</v>
      </c>
      <c r="AN12" s="142">
        <f t="shared" si="21"/>
        <v>0</v>
      </c>
      <c r="AO12" s="159"/>
      <c r="AP12" s="159"/>
      <c r="AQ12" s="159"/>
      <c r="AR12" s="159"/>
      <c r="AS12" s="169"/>
      <c r="AT12" s="169"/>
      <c r="AU12" s="169"/>
      <c r="AV12" s="169"/>
      <c r="AW12" s="169"/>
    </row>
    <row r="13" spans="1:49" s="42" customFormat="1" ht="34.15" customHeight="1">
      <c r="A13" s="270">
        <v>3</v>
      </c>
      <c r="B13" s="258"/>
      <c r="C13" s="309"/>
      <c r="D13" s="260"/>
      <c r="E13" s="258"/>
      <c r="F13" s="84">
        <f t="shared" si="0"/>
        <v>0</v>
      </c>
      <c r="G13" s="85">
        <f t="shared" si="1"/>
        <v>0</v>
      </c>
      <c r="H13" s="260"/>
      <c r="I13" s="258"/>
      <c r="J13" s="84">
        <f t="shared" si="2"/>
        <v>0</v>
      </c>
      <c r="K13" s="84">
        <f t="shared" si="3"/>
        <v>0</v>
      </c>
      <c r="L13" s="260"/>
      <c r="M13" s="258"/>
      <c r="N13" s="84">
        <f t="shared" si="4"/>
        <v>0</v>
      </c>
      <c r="O13" s="85">
        <f t="shared" si="5"/>
        <v>0</v>
      </c>
      <c r="P13" s="260"/>
      <c r="Q13" s="258"/>
      <c r="R13" s="84">
        <f t="shared" si="6"/>
        <v>0</v>
      </c>
      <c r="S13" s="85">
        <f t="shared" si="7"/>
        <v>0</v>
      </c>
      <c r="T13" s="201">
        <f t="shared" si="8"/>
        <v>0</v>
      </c>
      <c r="U13" s="205">
        <f t="shared" si="9"/>
        <v>0</v>
      </c>
      <c r="V13" s="223">
        <f t="shared" si="10"/>
        <v>-1</v>
      </c>
      <c r="W13" s="224">
        <f t="shared" si="11"/>
        <v>0</v>
      </c>
      <c r="X13" s="225">
        <f t="shared" si="12"/>
        <v>0</v>
      </c>
      <c r="Y13" s="515">
        <v>3</v>
      </c>
      <c r="Z13" s="61">
        <f t="shared" si="13"/>
        <v>-1</v>
      </c>
      <c r="AA13" s="142">
        <f t="shared" si="14"/>
        <v>0</v>
      </c>
      <c r="AB13" s="142">
        <f t="shared" si="15"/>
        <v>0</v>
      </c>
      <c r="AC13" s="159"/>
      <c r="AD13" s="159"/>
      <c r="AE13" s="142">
        <f t="shared" si="16"/>
        <v>0</v>
      </c>
      <c r="AF13" s="142">
        <f t="shared" si="17"/>
        <v>0</v>
      </c>
      <c r="AG13" s="159"/>
      <c r="AH13" s="159"/>
      <c r="AI13" s="142">
        <f t="shared" si="18"/>
        <v>0</v>
      </c>
      <c r="AJ13" s="142">
        <f t="shared" si="19"/>
        <v>0</v>
      </c>
      <c r="AK13" s="159"/>
      <c r="AL13" s="159"/>
      <c r="AM13" s="142">
        <f t="shared" si="20"/>
        <v>0</v>
      </c>
      <c r="AN13" s="142">
        <f t="shared" si="21"/>
        <v>0</v>
      </c>
      <c r="AO13" s="159"/>
      <c r="AP13" s="159"/>
      <c r="AQ13" s="159"/>
      <c r="AR13" s="159"/>
      <c r="AS13" s="169"/>
      <c r="AT13" s="169"/>
      <c r="AU13" s="169"/>
      <c r="AV13" s="169"/>
      <c r="AW13" s="169"/>
    </row>
    <row r="14" spans="1:49" s="42" customFormat="1" ht="34.15" customHeight="1">
      <c r="A14" s="270">
        <v>4</v>
      </c>
      <c r="B14" s="258"/>
      <c r="C14" s="309"/>
      <c r="D14" s="260"/>
      <c r="E14" s="258"/>
      <c r="F14" s="84">
        <f t="shared" si="0"/>
        <v>0</v>
      </c>
      <c r="G14" s="85">
        <f t="shared" si="1"/>
        <v>0</v>
      </c>
      <c r="H14" s="260"/>
      <c r="I14" s="258"/>
      <c r="J14" s="84">
        <f t="shared" si="2"/>
        <v>0</v>
      </c>
      <c r="K14" s="85">
        <f t="shared" si="3"/>
        <v>0</v>
      </c>
      <c r="L14" s="260"/>
      <c r="M14" s="258"/>
      <c r="N14" s="84">
        <f t="shared" si="4"/>
        <v>0</v>
      </c>
      <c r="O14" s="85">
        <f t="shared" si="5"/>
        <v>0</v>
      </c>
      <c r="P14" s="260"/>
      <c r="Q14" s="258"/>
      <c r="R14" s="84">
        <f t="shared" si="6"/>
        <v>0</v>
      </c>
      <c r="S14" s="85">
        <f t="shared" si="7"/>
        <v>0</v>
      </c>
      <c r="T14" s="201">
        <f t="shared" si="8"/>
        <v>0</v>
      </c>
      <c r="U14" s="205">
        <f t="shared" si="9"/>
        <v>0</v>
      </c>
      <c r="V14" s="223">
        <f t="shared" si="10"/>
        <v>-1</v>
      </c>
      <c r="W14" s="224">
        <f t="shared" si="11"/>
        <v>0</v>
      </c>
      <c r="X14" s="225">
        <f t="shared" si="12"/>
        <v>0</v>
      </c>
      <c r="Y14" s="515">
        <v>4</v>
      </c>
      <c r="Z14" s="61">
        <f t="shared" si="13"/>
        <v>-1</v>
      </c>
      <c r="AA14" s="142">
        <f t="shared" si="14"/>
        <v>0</v>
      </c>
      <c r="AB14" s="142">
        <f t="shared" si="15"/>
        <v>0</v>
      </c>
      <c r="AC14" s="159"/>
      <c r="AD14" s="159"/>
      <c r="AE14" s="142">
        <f t="shared" si="16"/>
        <v>0</v>
      </c>
      <c r="AF14" s="142">
        <f t="shared" si="17"/>
        <v>0</v>
      </c>
      <c r="AG14" s="159"/>
      <c r="AH14" s="159"/>
      <c r="AI14" s="142">
        <f t="shared" si="18"/>
        <v>0</v>
      </c>
      <c r="AJ14" s="142">
        <f t="shared" si="19"/>
        <v>0</v>
      </c>
      <c r="AK14" s="159"/>
      <c r="AL14" s="159"/>
      <c r="AM14" s="142">
        <f t="shared" si="20"/>
        <v>0</v>
      </c>
      <c r="AN14" s="142">
        <f t="shared" si="21"/>
        <v>0</v>
      </c>
      <c r="AO14" s="159"/>
      <c r="AP14" s="159"/>
      <c r="AQ14" s="159"/>
      <c r="AR14" s="159"/>
      <c r="AS14" s="169"/>
      <c r="AT14" s="169"/>
      <c r="AU14" s="169"/>
      <c r="AV14" s="169"/>
      <c r="AW14" s="169"/>
    </row>
    <row r="15" spans="1:49" s="42" customFormat="1" ht="34.15" customHeight="1">
      <c r="A15" s="270">
        <v>5</v>
      </c>
      <c r="B15" s="258"/>
      <c r="C15" s="309"/>
      <c r="D15" s="260"/>
      <c r="E15" s="258"/>
      <c r="F15" s="84">
        <f t="shared" si="0"/>
        <v>0</v>
      </c>
      <c r="G15" s="85">
        <f t="shared" si="1"/>
        <v>0</v>
      </c>
      <c r="H15" s="260"/>
      <c r="I15" s="258"/>
      <c r="J15" s="84">
        <f t="shared" si="2"/>
        <v>0</v>
      </c>
      <c r="K15" s="85">
        <f t="shared" si="3"/>
        <v>0</v>
      </c>
      <c r="L15" s="260"/>
      <c r="M15" s="258"/>
      <c r="N15" s="84">
        <f t="shared" si="4"/>
        <v>0</v>
      </c>
      <c r="O15" s="85">
        <f t="shared" si="5"/>
        <v>0</v>
      </c>
      <c r="P15" s="260"/>
      <c r="Q15" s="258"/>
      <c r="R15" s="84">
        <f t="shared" si="6"/>
        <v>0</v>
      </c>
      <c r="S15" s="85">
        <f t="shared" si="7"/>
        <v>0</v>
      </c>
      <c r="T15" s="201">
        <f t="shared" si="8"/>
        <v>0</v>
      </c>
      <c r="U15" s="205">
        <f t="shared" si="9"/>
        <v>0</v>
      </c>
      <c r="V15" s="223">
        <f t="shared" si="10"/>
        <v>-1</v>
      </c>
      <c r="W15" s="224">
        <f t="shared" si="11"/>
        <v>0</v>
      </c>
      <c r="X15" s="225">
        <f t="shared" si="12"/>
        <v>0</v>
      </c>
      <c r="Y15" s="515">
        <v>5</v>
      </c>
      <c r="Z15" s="61">
        <f t="shared" si="13"/>
        <v>-1</v>
      </c>
      <c r="AA15" s="142">
        <f t="shared" si="14"/>
        <v>0</v>
      </c>
      <c r="AB15" s="142">
        <f t="shared" si="15"/>
        <v>0</v>
      </c>
      <c r="AC15" s="159"/>
      <c r="AD15" s="159"/>
      <c r="AE15" s="142">
        <f t="shared" si="16"/>
        <v>0</v>
      </c>
      <c r="AF15" s="142">
        <f t="shared" si="17"/>
        <v>0</v>
      </c>
      <c r="AG15" s="159"/>
      <c r="AH15" s="159"/>
      <c r="AI15" s="142">
        <f t="shared" si="18"/>
        <v>0</v>
      </c>
      <c r="AJ15" s="142">
        <f t="shared" si="19"/>
        <v>0</v>
      </c>
      <c r="AK15" s="159"/>
      <c r="AL15" s="159"/>
      <c r="AM15" s="142">
        <f t="shared" si="20"/>
        <v>0</v>
      </c>
      <c r="AN15" s="142">
        <f t="shared" si="21"/>
        <v>0</v>
      </c>
      <c r="AO15" s="159"/>
      <c r="AP15" s="159"/>
      <c r="AQ15" s="159"/>
      <c r="AR15" s="159"/>
      <c r="AS15" s="169"/>
      <c r="AT15" s="169"/>
      <c r="AU15" s="169"/>
      <c r="AV15" s="169"/>
      <c r="AW15" s="169"/>
    </row>
    <row r="16" spans="1:49" s="42" customFormat="1" ht="34.15" customHeight="1">
      <c r="A16" s="270">
        <v>6</v>
      </c>
      <c r="B16" s="258"/>
      <c r="C16" s="309"/>
      <c r="D16" s="260"/>
      <c r="E16" s="258"/>
      <c r="F16" s="84">
        <f t="shared" si="0"/>
        <v>0</v>
      </c>
      <c r="G16" s="85">
        <f t="shared" si="1"/>
        <v>0</v>
      </c>
      <c r="H16" s="260"/>
      <c r="I16" s="258"/>
      <c r="J16" s="84">
        <f t="shared" si="2"/>
        <v>0</v>
      </c>
      <c r="K16" s="85">
        <f t="shared" si="3"/>
        <v>0</v>
      </c>
      <c r="L16" s="260"/>
      <c r="M16" s="258"/>
      <c r="N16" s="84">
        <f t="shared" si="4"/>
        <v>0</v>
      </c>
      <c r="O16" s="85">
        <f t="shared" si="5"/>
        <v>0</v>
      </c>
      <c r="P16" s="260"/>
      <c r="Q16" s="258"/>
      <c r="R16" s="84">
        <f t="shared" si="6"/>
        <v>0</v>
      </c>
      <c r="S16" s="85">
        <f t="shared" si="7"/>
        <v>0</v>
      </c>
      <c r="T16" s="201">
        <f t="shared" si="8"/>
        <v>0</v>
      </c>
      <c r="U16" s="205">
        <f t="shared" si="9"/>
        <v>0</v>
      </c>
      <c r="V16" s="223">
        <f t="shared" si="10"/>
        <v>-1</v>
      </c>
      <c r="W16" s="224">
        <f t="shared" si="11"/>
        <v>0</v>
      </c>
      <c r="X16" s="225">
        <f t="shared" si="12"/>
        <v>0</v>
      </c>
      <c r="Y16" s="515">
        <v>6</v>
      </c>
      <c r="Z16" s="61">
        <f t="shared" si="13"/>
        <v>-1</v>
      </c>
      <c r="AA16" s="142">
        <f t="shared" si="14"/>
        <v>0</v>
      </c>
      <c r="AB16" s="142">
        <f t="shared" si="15"/>
        <v>0</v>
      </c>
      <c r="AC16" s="159"/>
      <c r="AD16" s="159"/>
      <c r="AE16" s="142">
        <f t="shared" si="16"/>
        <v>0</v>
      </c>
      <c r="AF16" s="142">
        <f t="shared" si="17"/>
        <v>0</v>
      </c>
      <c r="AG16" s="159"/>
      <c r="AH16" s="159"/>
      <c r="AI16" s="142">
        <f t="shared" si="18"/>
        <v>0</v>
      </c>
      <c r="AJ16" s="142">
        <f t="shared" si="19"/>
        <v>0</v>
      </c>
      <c r="AK16" s="159"/>
      <c r="AL16" s="159"/>
      <c r="AM16" s="142">
        <f t="shared" si="20"/>
        <v>0</v>
      </c>
      <c r="AN16" s="142">
        <f t="shared" si="21"/>
        <v>0</v>
      </c>
      <c r="AO16" s="159"/>
      <c r="AP16" s="159"/>
      <c r="AQ16" s="159"/>
      <c r="AR16" s="159"/>
      <c r="AS16" s="169"/>
      <c r="AT16" s="169"/>
      <c r="AU16" s="169"/>
      <c r="AV16" s="169"/>
      <c r="AW16" s="169"/>
    </row>
    <row r="17" spans="1:49" s="42" customFormat="1" ht="34.15" customHeight="1">
      <c r="A17" s="270">
        <v>7</v>
      </c>
      <c r="B17" s="258"/>
      <c r="C17" s="309"/>
      <c r="D17" s="260"/>
      <c r="E17" s="258"/>
      <c r="F17" s="84">
        <f t="shared" si="0"/>
        <v>0</v>
      </c>
      <c r="G17" s="85">
        <f t="shared" si="1"/>
        <v>0</v>
      </c>
      <c r="H17" s="260"/>
      <c r="I17" s="258"/>
      <c r="J17" s="84">
        <f t="shared" si="2"/>
        <v>0</v>
      </c>
      <c r="K17" s="85">
        <f t="shared" si="3"/>
        <v>0</v>
      </c>
      <c r="L17" s="260"/>
      <c r="M17" s="258"/>
      <c r="N17" s="84">
        <f t="shared" si="4"/>
        <v>0</v>
      </c>
      <c r="O17" s="85">
        <f t="shared" si="5"/>
        <v>0</v>
      </c>
      <c r="P17" s="260"/>
      <c r="Q17" s="258"/>
      <c r="R17" s="84">
        <f t="shared" si="6"/>
        <v>0</v>
      </c>
      <c r="S17" s="85">
        <f t="shared" si="7"/>
        <v>0</v>
      </c>
      <c r="T17" s="201">
        <f t="shared" si="8"/>
        <v>0</v>
      </c>
      <c r="U17" s="205">
        <f t="shared" si="9"/>
        <v>0</v>
      </c>
      <c r="V17" s="223">
        <f t="shared" si="10"/>
        <v>-1</v>
      </c>
      <c r="W17" s="224">
        <f t="shared" si="11"/>
        <v>0</v>
      </c>
      <c r="X17" s="225">
        <f t="shared" si="12"/>
        <v>0</v>
      </c>
      <c r="Y17" s="515">
        <v>7</v>
      </c>
      <c r="Z17" s="61">
        <f t="shared" si="13"/>
        <v>-1</v>
      </c>
      <c r="AA17" s="142">
        <f t="shared" si="14"/>
        <v>0</v>
      </c>
      <c r="AB17" s="142">
        <f t="shared" si="15"/>
        <v>0</v>
      </c>
      <c r="AC17" s="159"/>
      <c r="AD17" s="159"/>
      <c r="AE17" s="142">
        <f t="shared" si="16"/>
        <v>0</v>
      </c>
      <c r="AF17" s="142">
        <f t="shared" si="17"/>
        <v>0</v>
      </c>
      <c r="AG17" s="159"/>
      <c r="AH17" s="159"/>
      <c r="AI17" s="142">
        <f t="shared" si="18"/>
        <v>0</v>
      </c>
      <c r="AJ17" s="142">
        <f t="shared" si="19"/>
        <v>0</v>
      </c>
      <c r="AK17" s="159"/>
      <c r="AL17" s="159"/>
      <c r="AM17" s="142">
        <f t="shared" si="20"/>
        <v>0</v>
      </c>
      <c r="AN17" s="142">
        <f t="shared" si="21"/>
        <v>0</v>
      </c>
      <c r="AO17" s="159"/>
      <c r="AP17" s="159"/>
      <c r="AQ17" s="159"/>
      <c r="AR17" s="159"/>
      <c r="AS17" s="169"/>
      <c r="AT17" s="169"/>
      <c r="AU17" s="169"/>
      <c r="AV17" s="169"/>
      <c r="AW17" s="169"/>
    </row>
    <row r="18" spans="1:49" s="42" customFormat="1" ht="34.15" customHeight="1" thickBot="1">
      <c r="A18" s="272">
        <v>8</v>
      </c>
      <c r="B18" s="259"/>
      <c r="C18" s="312"/>
      <c r="D18" s="264"/>
      <c r="E18" s="259"/>
      <c r="F18" s="86">
        <f t="shared" si="0"/>
        <v>0</v>
      </c>
      <c r="G18" s="87">
        <f t="shared" si="1"/>
        <v>0</v>
      </c>
      <c r="H18" s="264"/>
      <c r="I18" s="259"/>
      <c r="J18" s="86">
        <f t="shared" si="2"/>
        <v>0</v>
      </c>
      <c r="K18" s="87">
        <f t="shared" si="3"/>
        <v>0</v>
      </c>
      <c r="L18" s="264"/>
      <c r="M18" s="259"/>
      <c r="N18" s="86">
        <f t="shared" si="4"/>
        <v>0</v>
      </c>
      <c r="O18" s="87">
        <f t="shared" si="5"/>
        <v>0</v>
      </c>
      <c r="P18" s="264"/>
      <c r="Q18" s="259"/>
      <c r="R18" s="86">
        <f t="shared" si="6"/>
        <v>0</v>
      </c>
      <c r="S18" s="87">
        <f t="shared" si="7"/>
        <v>0</v>
      </c>
      <c r="T18" s="202">
        <f t="shared" si="8"/>
        <v>0</v>
      </c>
      <c r="U18" s="207">
        <f t="shared" si="9"/>
        <v>0</v>
      </c>
      <c r="V18" s="227">
        <f t="shared" si="10"/>
        <v>-1</v>
      </c>
      <c r="W18" s="228">
        <f t="shared" si="11"/>
        <v>0</v>
      </c>
      <c r="X18" s="230">
        <f t="shared" si="12"/>
        <v>0</v>
      </c>
      <c r="Y18" s="516">
        <v>8</v>
      </c>
      <c r="Z18" s="61">
        <f t="shared" si="13"/>
        <v>-1</v>
      </c>
      <c r="AA18" s="142">
        <f t="shared" si="14"/>
        <v>0</v>
      </c>
      <c r="AB18" s="142">
        <f t="shared" si="15"/>
        <v>0</v>
      </c>
      <c r="AC18" s="159"/>
      <c r="AD18" s="159"/>
      <c r="AE18" s="142">
        <f t="shared" si="16"/>
        <v>0</v>
      </c>
      <c r="AF18" s="142">
        <f t="shared" si="17"/>
        <v>0</v>
      </c>
      <c r="AG18" s="159"/>
      <c r="AH18" s="159"/>
      <c r="AI18" s="142">
        <f t="shared" si="18"/>
        <v>0</v>
      </c>
      <c r="AJ18" s="142">
        <f t="shared" si="19"/>
        <v>0</v>
      </c>
      <c r="AK18" s="159"/>
      <c r="AL18" s="159"/>
      <c r="AM18" s="142">
        <f t="shared" si="20"/>
        <v>0</v>
      </c>
      <c r="AN18" s="142">
        <f t="shared" si="21"/>
        <v>0</v>
      </c>
      <c r="AO18" s="159"/>
      <c r="AP18" s="159"/>
      <c r="AQ18" s="159"/>
      <c r="AR18" s="159"/>
      <c r="AS18" s="169"/>
      <c r="AT18" s="169"/>
      <c r="AU18" s="169"/>
      <c r="AV18" s="169"/>
      <c r="AW18" s="169"/>
    </row>
    <row r="19" spans="1:49" s="42" customFormat="1" ht="34.15" customHeight="1">
      <c r="A19" s="268">
        <v>9</v>
      </c>
      <c r="B19" s="261"/>
      <c r="C19" s="313"/>
      <c r="D19" s="306"/>
      <c r="E19" s="305"/>
      <c r="F19" s="176">
        <f t="shared" si="0"/>
        <v>0</v>
      </c>
      <c r="G19" s="177">
        <f t="shared" si="1"/>
        <v>0</v>
      </c>
      <c r="H19" s="316"/>
      <c r="I19" s="317"/>
      <c r="J19" s="176">
        <f t="shared" si="2"/>
        <v>0</v>
      </c>
      <c r="K19" s="177">
        <f t="shared" si="3"/>
        <v>0</v>
      </c>
      <c r="L19" s="316"/>
      <c r="M19" s="317"/>
      <c r="N19" s="176">
        <f t="shared" si="4"/>
        <v>0</v>
      </c>
      <c r="O19" s="177">
        <f t="shared" si="5"/>
        <v>0</v>
      </c>
      <c r="P19" s="316"/>
      <c r="Q19" s="317"/>
      <c r="R19" s="176">
        <f t="shared" si="6"/>
        <v>0</v>
      </c>
      <c r="S19" s="177">
        <f t="shared" si="7"/>
        <v>0</v>
      </c>
      <c r="T19" s="200">
        <f t="shared" si="8"/>
        <v>0</v>
      </c>
      <c r="U19" s="206">
        <f t="shared" si="9"/>
        <v>0</v>
      </c>
      <c r="V19" s="221">
        <f t="shared" si="10"/>
        <v>-1</v>
      </c>
      <c r="W19" s="229">
        <f t="shared" si="11"/>
        <v>0</v>
      </c>
      <c r="X19" s="222">
        <f t="shared" si="12"/>
        <v>0</v>
      </c>
      <c r="Y19" s="517">
        <v>9</v>
      </c>
      <c r="Z19" s="61">
        <f t="shared" si="13"/>
        <v>-1</v>
      </c>
      <c r="AA19" s="142">
        <f t="shared" si="14"/>
        <v>0</v>
      </c>
      <c r="AB19" s="142">
        <f t="shared" si="15"/>
        <v>0</v>
      </c>
      <c r="AC19" s="159"/>
      <c r="AD19" s="159"/>
      <c r="AE19" s="142">
        <f t="shared" si="16"/>
        <v>0</v>
      </c>
      <c r="AF19" s="142">
        <f t="shared" si="17"/>
        <v>0</v>
      </c>
      <c r="AG19" s="159"/>
      <c r="AH19" s="159"/>
      <c r="AI19" s="142">
        <f t="shared" si="18"/>
        <v>0</v>
      </c>
      <c r="AJ19" s="142">
        <f t="shared" si="19"/>
        <v>0</v>
      </c>
      <c r="AK19" s="159"/>
      <c r="AL19" s="159"/>
      <c r="AM19" s="142">
        <f t="shared" si="20"/>
        <v>0</v>
      </c>
      <c r="AN19" s="142">
        <f t="shared" si="21"/>
        <v>0</v>
      </c>
      <c r="AO19" s="159"/>
      <c r="AP19" s="159"/>
      <c r="AQ19" s="159"/>
      <c r="AR19" s="159"/>
      <c r="AS19" s="169"/>
      <c r="AT19" s="169"/>
      <c r="AU19" s="169"/>
      <c r="AV19" s="169"/>
      <c r="AW19" s="169"/>
    </row>
    <row r="20" spans="1:49" s="42" customFormat="1" ht="34.15" customHeight="1">
      <c r="A20" s="270">
        <v>10</v>
      </c>
      <c r="B20" s="258"/>
      <c r="C20" s="311"/>
      <c r="D20" s="276"/>
      <c r="E20" s="275"/>
      <c r="F20" s="84">
        <f t="shared" si="0"/>
        <v>0</v>
      </c>
      <c r="G20" s="85">
        <f t="shared" si="1"/>
        <v>0</v>
      </c>
      <c r="H20" s="292"/>
      <c r="I20" s="290"/>
      <c r="J20" s="84">
        <f t="shared" si="2"/>
        <v>0</v>
      </c>
      <c r="K20" s="85">
        <f t="shared" si="3"/>
        <v>0</v>
      </c>
      <c r="L20" s="292"/>
      <c r="M20" s="290"/>
      <c r="N20" s="84">
        <f t="shared" si="4"/>
        <v>0</v>
      </c>
      <c r="O20" s="85">
        <f t="shared" si="5"/>
        <v>0</v>
      </c>
      <c r="P20" s="292"/>
      <c r="Q20" s="290"/>
      <c r="R20" s="84">
        <f t="shared" si="6"/>
        <v>0</v>
      </c>
      <c r="S20" s="85">
        <f t="shared" si="7"/>
        <v>0</v>
      </c>
      <c r="T20" s="201">
        <f t="shared" si="8"/>
        <v>0</v>
      </c>
      <c r="U20" s="205">
        <f t="shared" si="9"/>
        <v>0</v>
      </c>
      <c r="V20" s="223">
        <f t="shared" si="10"/>
        <v>-1</v>
      </c>
      <c r="W20" s="224">
        <f t="shared" si="11"/>
        <v>0</v>
      </c>
      <c r="X20" s="226">
        <f t="shared" si="12"/>
        <v>0</v>
      </c>
      <c r="Y20" s="515">
        <v>10</v>
      </c>
      <c r="Z20" s="61">
        <f t="shared" si="13"/>
        <v>-1</v>
      </c>
      <c r="AA20" s="142">
        <f t="shared" si="14"/>
        <v>0</v>
      </c>
      <c r="AB20" s="142">
        <f t="shared" si="15"/>
        <v>0</v>
      </c>
      <c r="AC20" s="159"/>
      <c r="AD20" s="159"/>
      <c r="AE20" s="142">
        <f t="shared" si="16"/>
        <v>0</v>
      </c>
      <c r="AF20" s="142">
        <f t="shared" si="17"/>
        <v>0</v>
      </c>
      <c r="AG20" s="159"/>
      <c r="AH20" s="159"/>
      <c r="AI20" s="142">
        <f t="shared" si="18"/>
        <v>0</v>
      </c>
      <c r="AJ20" s="142">
        <f t="shared" si="19"/>
        <v>0</v>
      </c>
      <c r="AK20" s="159"/>
      <c r="AL20" s="159"/>
      <c r="AM20" s="142">
        <f t="shared" si="20"/>
        <v>0</v>
      </c>
      <c r="AN20" s="142">
        <f t="shared" si="21"/>
        <v>0</v>
      </c>
      <c r="AO20" s="159"/>
      <c r="AP20" s="159"/>
      <c r="AQ20" s="159"/>
      <c r="AR20" s="159"/>
      <c r="AS20" s="169"/>
      <c r="AT20" s="169"/>
      <c r="AU20" s="169"/>
      <c r="AV20" s="169"/>
      <c r="AW20" s="169"/>
    </row>
    <row r="21" spans="1:49" s="42" customFormat="1" ht="34.15" customHeight="1">
      <c r="A21" s="270">
        <v>11</v>
      </c>
      <c r="B21" s="258"/>
      <c r="C21" s="309"/>
      <c r="D21" s="260"/>
      <c r="E21" s="258"/>
      <c r="F21" s="84">
        <f t="shared" si="0"/>
        <v>0</v>
      </c>
      <c r="G21" s="85">
        <f t="shared" si="1"/>
        <v>0</v>
      </c>
      <c r="H21" s="260"/>
      <c r="I21" s="258"/>
      <c r="J21" s="84">
        <f t="shared" si="2"/>
        <v>0</v>
      </c>
      <c r="K21" s="85">
        <f t="shared" si="3"/>
        <v>0</v>
      </c>
      <c r="L21" s="260"/>
      <c r="M21" s="258"/>
      <c r="N21" s="84">
        <f t="shared" si="4"/>
        <v>0</v>
      </c>
      <c r="O21" s="85">
        <f t="shared" si="5"/>
        <v>0</v>
      </c>
      <c r="P21" s="260"/>
      <c r="Q21" s="258"/>
      <c r="R21" s="84">
        <f t="shared" si="6"/>
        <v>0</v>
      </c>
      <c r="S21" s="85">
        <f t="shared" si="7"/>
        <v>0</v>
      </c>
      <c r="T21" s="201">
        <f t="shared" si="8"/>
        <v>0</v>
      </c>
      <c r="U21" s="205">
        <f t="shared" si="9"/>
        <v>0</v>
      </c>
      <c r="V21" s="223">
        <f t="shared" si="10"/>
        <v>-1</v>
      </c>
      <c r="W21" s="224">
        <f t="shared" si="11"/>
        <v>0</v>
      </c>
      <c r="X21" s="225">
        <f t="shared" si="12"/>
        <v>0</v>
      </c>
      <c r="Y21" s="515">
        <v>11</v>
      </c>
      <c r="Z21" s="61">
        <f t="shared" si="13"/>
        <v>-1</v>
      </c>
      <c r="AA21" s="142">
        <f t="shared" si="14"/>
        <v>0</v>
      </c>
      <c r="AB21" s="142">
        <f t="shared" si="15"/>
        <v>0</v>
      </c>
      <c r="AC21" s="159"/>
      <c r="AD21" s="159"/>
      <c r="AE21" s="142">
        <f t="shared" si="16"/>
        <v>0</v>
      </c>
      <c r="AF21" s="142">
        <f t="shared" si="17"/>
        <v>0</v>
      </c>
      <c r="AG21" s="159"/>
      <c r="AH21" s="159"/>
      <c r="AI21" s="142">
        <f t="shared" si="18"/>
        <v>0</v>
      </c>
      <c r="AJ21" s="142">
        <f t="shared" si="19"/>
        <v>0</v>
      </c>
      <c r="AK21" s="159"/>
      <c r="AL21" s="159"/>
      <c r="AM21" s="142">
        <f t="shared" si="20"/>
        <v>0</v>
      </c>
      <c r="AN21" s="142">
        <f t="shared" si="21"/>
        <v>0</v>
      </c>
      <c r="AO21" s="159"/>
      <c r="AP21" s="159"/>
      <c r="AQ21" s="159"/>
      <c r="AR21" s="159"/>
      <c r="AS21" s="169"/>
      <c r="AT21" s="169"/>
      <c r="AU21" s="169"/>
      <c r="AV21" s="169"/>
      <c r="AW21" s="169"/>
    </row>
    <row r="22" spans="1:49" s="42" customFormat="1" ht="34.15" customHeight="1">
      <c r="A22" s="270">
        <v>12</v>
      </c>
      <c r="B22" s="258"/>
      <c r="C22" s="309"/>
      <c r="D22" s="260"/>
      <c r="E22" s="258"/>
      <c r="F22" s="84">
        <f t="shared" si="0"/>
        <v>0</v>
      </c>
      <c r="G22" s="85">
        <f t="shared" si="1"/>
        <v>0</v>
      </c>
      <c r="H22" s="260"/>
      <c r="I22" s="258"/>
      <c r="J22" s="84">
        <f t="shared" si="2"/>
        <v>0</v>
      </c>
      <c r="K22" s="85">
        <f t="shared" si="3"/>
        <v>0</v>
      </c>
      <c r="L22" s="260"/>
      <c r="M22" s="258"/>
      <c r="N22" s="84">
        <f t="shared" si="4"/>
        <v>0</v>
      </c>
      <c r="O22" s="85">
        <f t="shared" si="5"/>
        <v>0</v>
      </c>
      <c r="P22" s="260"/>
      <c r="Q22" s="258"/>
      <c r="R22" s="84">
        <f t="shared" si="6"/>
        <v>0</v>
      </c>
      <c r="S22" s="85">
        <f t="shared" si="7"/>
        <v>0</v>
      </c>
      <c r="T22" s="201">
        <f t="shared" si="8"/>
        <v>0</v>
      </c>
      <c r="U22" s="205">
        <f t="shared" si="9"/>
        <v>0</v>
      </c>
      <c r="V22" s="223">
        <f t="shared" si="10"/>
        <v>-1</v>
      </c>
      <c r="W22" s="224">
        <f t="shared" si="11"/>
        <v>0</v>
      </c>
      <c r="X22" s="225">
        <f t="shared" si="12"/>
        <v>0</v>
      </c>
      <c r="Y22" s="515">
        <v>12</v>
      </c>
      <c r="Z22" s="61">
        <f t="shared" si="13"/>
        <v>-1</v>
      </c>
      <c r="AA22" s="142">
        <f t="shared" si="14"/>
        <v>0</v>
      </c>
      <c r="AB22" s="142">
        <f t="shared" si="15"/>
        <v>0</v>
      </c>
      <c r="AC22" s="159"/>
      <c r="AD22" s="159"/>
      <c r="AE22" s="142">
        <f t="shared" si="16"/>
        <v>0</v>
      </c>
      <c r="AF22" s="142">
        <f t="shared" si="17"/>
        <v>0</v>
      </c>
      <c r="AG22" s="159"/>
      <c r="AH22" s="159"/>
      <c r="AI22" s="142">
        <f t="shared" si="18"/>
        <v>0</v>
      </c>
      <c r="AJ22" s="142">
        <f t="shared" si="19"/>
        <v>0</v>
      </c>
      <c r="AK22" s="159"/>
      <c r="AL22" s="159"/>
      <c r="AM22" s="142">
        <f t="shared" si="20"/>
        <v>0</v>
      </c>
      <c r="AN22" s="142">
        <f t="shared" si="21"/>
        <v>0</v>
      </c>
      <c r="AO22" s="159"/>
      <c r="AP22" s="159"/>
      <c r="AQ22" s="159"/>
      <c r="AR22" s="159"/>
      <c r="AS22" s="169"/>
      <c r="AT22" s="169"/>
      <c r="AU22" s="169"/>
      <c r="AV22" s="169"/>
      <c r="AW22" s="169"/>
    </row>
    <row r="23" spans="1:49" s="42" customFormat="1" ht="34.15" customHeight="1">
      <c r="A23" s="270">
        <v>13</v>
      </c>
      <c r="B23" s="258"/>
      <c r="C23" s="309"/>
      <c r="D23" s="276"/>
      <c r="E23" s="275"/>
      <c r="F23" s="84">
        <f t="shared" si="0"/>
        <v>0</v>
      </c>
      <c r="G23" s="85">
        <f t="shared" si="1"/>
        <v>0</v>
      </c>
      <c r="H23" s="260"/>
      <c r="I23" s="258"/>
      <c r="J23" s="84">
        <f t="shared" si="2"/>
        <v>0</v>
      </c>
      <c r="K23" s="85">
        <f t="shared" si="3"/>
        <v>0</v>
      </c>
      <c r="L23" s="292"/>
      <c r="M23" s="290"/>
      <c r="N23" s="84">
        <f t="shared" si="4"/>
        <v>0</v>
      </c>
      <c r="O23" s="85">
        <f t="shared" si="5"/>
        <v>0</v>
      </c>
      <c r="P23" s="292"/>
      <c r="Q23" s="290"/>
      <c r="R23" s="84">
        <f t="shared" si="6"/>
        <v>0</v>
      </c>
      <c r="S23" s="85">
        <f t="shared" si="7"/>
        <v>0</v>
      </c>
      <c r="T23" s="201">
        <f t="shared" si="8"/>
        <v>0</v>
      </c>
      <c r="U23" s="205">
        <f t="shared" si="9"/>
        <v>0</v>
      </c>
      <c r="V23" s="223">
        <f t="shared" si="10"/>
        <v>-1</v>
      </c>
      <c r="W23" s="224">
        <f t="shared" si="11"/>
        <v>0</v>
      </c>
      <c r="X23" s="225">
        <f t="shared" si="12"/>
        <v>0</v>
      </c>
      <c r="Y23" s="515">
        <v>13</v>
      </c>
      <c r="Z23" s="61">
        <f t="shared" si="13"/>
        <v>-1</v>
      </c>
      <c r="AA23" s="142">
        <f t="shared" si="14"/>
        <v>0</v>
      </c>
      <c r="AB23" s="142">
        <f t="shared" si="15"/>
        <v>0</v>
      </c>
      <c r="AC23" s="159"/>
      <c r="AD23" s="159"/>
      <c r="AE23" s="142">
        <f t="shared" si="16"/>
        <v>0</v>
      </c>
      <c r="AF23" s="142">
        <f t="shared" si="17"/>
        <v>0</v>
      </c>
      <c r="AG23" s="159"/>
      <c r="AH23" s="159"/>
      <c r="AI23" s="142">
        <f t="shared" si="18"/>
        <v>0</v>
      </c>
      <c r="AJ23" s="142">
        <f t="shared" si="19"/>
        <v>0</v>
      </c>
      <c r="AK23" s="159"/>
      <c r="AL23" s="159"/>
      <c r="AM23" s="142">
        <f t="shared" si="20"/>
        <v>0</v>
      </c>
      <c r="AN23" s="142">
        <f t="shared" si="21"/>
        <v>0</v>
      </c>
      <c r="AO23" s="159"/>
      <c r="AP23" s="159"/>
      <c r="AQ23" s="159"/>
      <c r="AR23" s="159"/>
      <c r="AS23" s="169"/>
      <c r="AT23" s="169"/>
      <c r="AU23" s="169"/>
      <c r="AV23" s="169"/>
      <c r="AW23" s="169"/>
    </row>
    <row r="24" spans="1:49" s="42" customFormat="1" ht="34.15" customHeight="1">
      <c r="A24" s="270">
        <v>14</v>
      </c>
      <c r="B24" s="258"/>
      <c r="C24" s="309"/>
      <c r="D24" s="260"/>
      <c r="E24" s="258"/>
      <c r="F24" s="84">
        <f t="shared" si="0"/>
        <v>0</v>
      </c>
      <c r="G24" s="85">
        <f t="shared" si="1"/>
        <v>0</v>
      </c>
      <c r="H24" s="260"/>
      <c r="I24" s="258"/>
      <c r="J24" s="84">
        <f t="shared" si="2"/>
        <v>0</v>
      </c>
      <c r="K24" s="85">
        <f t="shared" si="3"/>
        <v>0</v>
      </c>
      <c r="L24" s="260"/>
      <c r="M24" s="258"/>
      <c r="N24" s="84">
        <f t="shared" si="4"/>
        <v>0</v>
      </c>
      <c r="O24" s="85">
        <f t="shared" si="5"/>
        <v>0</v>
      </c>
      <c r="P24" s="260"/>
      <c r="Q24" s="258"/>
      <c r="R24" s="84">
        <f t="shared" si="6"/>
        <v>0</v>
      </c>
      <c r="S24" s="85">
        <f t="shared" si="7"/>
        <v>0</v>
      </c>
      <c r="T24" s="201">
        <f t="shared" si="8"/>
        <v>0</v>
      </c>
      <c r="U24" s="205">
        <f t="shared" si="9"/>
        <v>0</v>
      </c>
      <c r="V24" s="223">
        <f t="shared" si="10"/>
        <v>-1</v>
      </c>
      <c r="W24" s="224">
        <f t="shared" si="11"/>
        <v>0</v>
      </c>
      <c r="X24" s="225">
        <f t="shared" si="12"/>
        <v>0</v>
      </c>
      <c r="Y24" s="515">
        <v>14</v>
      </c>
      <c r="Z24" s="61">
        <f t="shared" si="13"/>
        <v>-1</v>
      </c>
      <c r="AA24" s="142">
        <f t="shared" si="14"/>
        <v>0</v>
      </c>
      <c r="AB24" s="142">
        <f t="shared" si="15"/>
        <v>0</v>
      </c>
      <c r="AC24" s="159"/>
      <c r="AD24" s="159"/>
      <c r="AE24" s="142">
        <f t="shared" si="16"/>
        <v>0</v>
      </c>
      <c r="AF24" s="142">
        <f t="shared" si="17"/>
        <v>0</v>
      </c>
      <c r="AG24" s="159"/>
      <c r="AH24" s="159"/>
      <c r="AI24" s="142">
        <f t="shared" si="18"/>
        <v>0</v>
      </c>
      <c r="AJ24" s="142">
        <f t="shared" si="19"/>
        <v>0</v>
      </c>
      <c r="AK24" s="159"/>
      <c r="AL24" s="159"/>
      <c r="AM24" s="142">
        <f t="shared" si="20"/>
        <v>0</v>
      </c>
      <c r="AN24" s="142">
        <f t="shared" si="21"/>
        <v>0</v>
      </c>
      <c r="AO24" s="159"/>
      <c r="AP24" s="159"/>
      <c r="AQ24" s="159"/>
      <c r="AR24" s="159"/>
      <c r="AS24" s="169"/>
      <c r="AT24" s="169"/>
      <c r="AU24" s="169"/>
      <c r="AV24" s="169"/>
      <c r="AW24" s="169"/>
    </row>
    <row r="25" spans="1:49" s="42" customFormat="1" ht="34.15" customHeight="1">
      <c r="A25" s="270">
        <v>15</v>
      </c>
      <c r="B25" s="258"/>
      <c r="C25" s="309"/>
      <c r="D25" s="260"/>
      <c r="E25" s="258"/>
      <c r="F25" s="84">
        <f t="shared" si="0"/>
        <v>0</v>
      </c>
      <c r="G25" s="85">
        <f t="shared" si="1"/>
        <v>0</v>
      </c>
      <c r="H25" s="260"/>
      <c r="I25" s="258"/>
      <c r="J25" s="84">
        <f t="shared" si="2"/>
        <v>0</v>
      </c>
      <c r="K25" s="85">
        <f t="shared" si="3"/>
        <v>0</v>
      </c>
      <c r="L25" s="260"/>
      <c r="M25" s="258"/>
      <c r="N25" s="84">
        <f t="shared" si="4"/>
        <v>0</v>
      </c>
      <c r="O25" s="85">
        <f t="shared" si="5"/>
        <v>0</v>
      </c>
      <c r="P25" s="260"/>
      <c r="Q25" s="258"/>
      <c r="R25" s="84">
        <f t="shared" si="6"/>
        <v>0</v>
      </c>
      <c r="S25" s="85">
        <f t="shared" si="7"/>
        <v>0</v>
      </c>
      <c r="T25" s="201">
        <f t="shared" si="8"/>
        <v>0</v>
      </c>
      <c r="U25" s="205">
        <f t="shared" si="9"/>
        <v>0</v>
      </c>
      <c r="V25" s="223">
        <f t="shared" si="10"/>
        <v>-1</v>
      </c>
      <c r="W25" s="224">
        <f t="shared" si="11"/>
        <v>0</v>
      </c>
      <c r="X25" s="225">
        <f t="shared" si="12"/>
        <v>0</v>
      </c>
      <c r="Y25" s="515">
        <v>15</v>
      </c>
      <c r="Z25" s="61">
        <f t="shared" si="13"/>
        <v>-1</v>
      </c>
      <c r="AA25" s="142">
        <f t="shared" si="14"/>
        <v>0</v>
      </c>
      <c r="AB25" s="142">
        <f t="shared" si="15"/>
        <v>0</v>
      </c>
      <c r="AC25" s="159"/>
      <c r="AD25" s="159"/>
      <c r="AE25" s="142">
        <f t="shared" si="16"/>
        <v>0</v>
      </c>
      <c r="AF25" s="142">
        <f t="shared" si="17"/>
        <v>0</v>
      </c>
      <c r="AG25" s="159"/>
      <c r="AH25" s="159"/>
      <c r="AI25" s="142">
        <f t="shared" si="18"/>
        <v>0</v>
      </c>
      <c r="AJ25" s="142">
        <f t="shared" si="19"/>
        <v>0</v>
      </c>
      <c r="AK25" s="159"/>
      <c r="AL25" s="159"/>
      <c r="AM25" s="142">
        <f t="shared" si="20"/>
        <v>0</v>
      </c>
      <c r="AN25" s="142">
        <f t="shared" si="21"/>
        <v>0</v>
      </c>
      <c r="AO25" s="159"/>
      <c r="AP25" s="159"/>
      <c r="AQ25" s="159"/>
      <c r="AR25" s="159"/>
      <c r="AS25" s="169"/>
      <c r="AT25" s="169"/>
      <c r="AU25" s="169"/>
      <c r="AV25" s="169"/>
      <c r="AW25" s="169"/>
    </row>
    <row r="26" spans="1:49" s="42" customFormat="1" ht="34.15" customHeight="1" thickBot="1">
      <c r="A26" s="272">
        <v>16</v>
      </c>
      <c r="B26" s="259"/>
      <c r="C26" s="384"/>
      <c r="D26" s="385"/>
      <c r="E26" s="386"/>
      <c r="F26" s="86">
        <f t="shared" si="0"/>
        <v>0</v>
      </c>
      <c r="G26" s="87">
        <f t="shared" si="1"/>
        <v>0</v>
      </c>
      <c r="H26" s="293"/>
      <c r="I26" s="291"/>
      <c r="J26" s="86">
        <f t="shared" si="2"/>
        <v>0</v>
      </c>
      <c r="K26" s="87">
        <f t="shared" si="3"/>
        <v>0</v>
      </c>
      <c r="L26" s="293"/>
      <c r="M26" s="291"/>
      <c r="N26" s="86">
        <f t="shared" si="4"/>
        <v>0</v>
      </c>
      <c r="O26" s="87">
        <f t="shared" si="5"/>
        <v>0</v>
      </c>
      <c r="P26" s="293"/>
      <c r="Q26" s="291"/>
      <c r="R26" s="86">
        <f t="shared" si="6"/>
        <v>0</v>
      </c>
      <c r="S26" s="155">
        <f t="shared" si="7"/>
        <v>0</v>
      </c>
      <c r="T26" s="202">
        <f t="shared" si="8"/>
        <v>0</v>
      </c>
      <c r="U26" s="207">
        <f t="shared" si="9"/>
        <v>0</v>
      </c>
      <c r="V26" s="227">
        <f t="shared" si="10"/>
        <v>-1</v>
      </c>
      <c r="W26" s="228">
        <f t="shared" si="11"/>
        <v>0</v>
      </c>
      <c r="X26" s="230">
        <f t="shared" si="12"/>
        <v>0</v>
      </c>
      <c r="Y26" s="516">
        <v>16</v>
      </c>
      <c r="Z26" s="61">
        <f t="shared" si="13"/>
        <v>-1</v>
      </c>
      <c r="AA26" s="142">
        <f t="shared" si="14"/>
        <v>0</v>
      </c>
      <c r="AB26" s="142">
        <f t="shared" si="15"/>
        <v>0</v>
      </c>
      <c r="AC26" s="159"/>
      <c r="AD26" s="159"/>
      <c r="AE26" s="142">
        <f t="shared" si="16"/>
        <v>0</v>
      </c>
      <c r="AF26" s="142">
        <f t="shared" si="17"/>
        <v>0</v>
      </c>
      <c r="AG26" s="159"/>
      <c r="AH26" s="159"/>
      <c r="AI26" s="142">
        <f t="shared" si="18"/>
        <v>0</v>
      </c>
      <c r="AJ26" s="142">
        <f t="shared" si="19"/>
        <v>0</v>
      </c>
      <c r="AK26" s="159"/>
      <c r="AL26" s="159"/>
      <c r="AM26" s="142">
        <f t="shared" si="20"/>
        <v>0</v>
      </c>
      <c r="AN26" s="142">
        <f t="shared" si="21"/>
        <v>0</v>
      </c>
      <c r="AO26" s="159"/>
      <c r="AP26" s="159"/>
      <c r="AQ26" s="159"/>
      <c r="AR26" s="159"/>
      <c r="AS26" s="169"/>
      <c r="AT26" s="169"/>
      <c r="AU26" s="169"/>
      <c r="AV26" s="169"/>
      <c r="AW26" s="169"/>
    </row>
    <row r="27" spans="1:49" s="42" customFormat="1" ht="34.15" customHeight="1">
      <c r="A27" s="268">
        <v>17</v>
      </c>
      <c r="B27" s="261"/>
      <c r="C27" s="308"/>
      <c r="D27" s="260"/>
      <c r="E27" s="258"/>
      <c r="F27" s="90">
        <f t="shared" si="0"/>
        <v>0</v>
      </c>
      <c r="G27" s="91">
        <f t="shared" si="1"/>
        <v>0</v>
      </c>
      <c r="H27" s="260"/>
      <c r="I27" s="258"/>
      <c r="J27" s="90">
        <f t="shared" si="2"/>
        <v>0</v>
      </c>
      <c r="K27" s="91">
        <f t="shared" si="3"/>
        <v>0</v>
      </c>
      <c r="L27" s="260"/>
      <c r="M27" s="258"/>
      <c r="N27" s="90">
        <f t="shared" si="4"/>
        <v>0</v>
      </c>
      <c r="O27" s="91">
        <f t="shared" si="5"/>
        <v>0</v>
      </c>
      <c r="P27" s="260"/>
      <c r="Q27" s="258"/>
      <c r="R27" s="90">
        <f t="shared" si="6"/>
        <v>0</v>
      </c>
      <c r="S27" s="91">
        <f t="shared" si="7"/>
        <v>0</v>
      </c>
      <c r="T27" s="200">
        <f t="shared" si="8"/>
        <v>0</v>
      </c>
      <c r="U27" s="206">
        <f t="shared" si="9"/>
        <v>0</v>
      </c>
      <c r="V27" s="221">
        <f t="shared" si="10"/>
        <v>-1</v>
      </c>
      <c r="W27" s="229">
        <f t="shared" si="11"/>
        <v>0</v>
      </c>
      <c r="X27" s="222">
        <f t="shared" si="12"/>
        <v>0</v>
      </c>
      <c r="Y27" s="517">
        <v>17</v>
      </c>
      <c r="Z27" s="61">
        <f t="shared" si="13"/>
        <v>-1</v>
      </c>
      <c r="AA27" s="142">
        <f t="shared" si="14"/>
        <v>0</v>
      </c>
      <c r="AB27" s="142">
        <f t="shared" si="15"/>
        <v>0</v>
      </c>
      <c r="AC27" s="159"/>
      <c r="AD27" s="159"/>
      <c r="AE27" s="142">
        <f t="shared" si="16"/>
        <v>0</v>
      </c>
      <c r="AF27" s="142">
        <f t="shared" si="17"/>
        <v>0</v>
      </c>
      <c r="AG27" s="159"/>
      <c r="AH27" s="159"/>
      <c r="AI27" s="142">
        <f t="shared" si="18"/>
        <v>0</v>
      </c>
      <c r="AJ27" s="142">
        <f t="shared" si="19"/>
        <v>0</v>
      </c>
      <c r="AK27" s="159"/>
      <c r="AL27" s="159"/>
      <c r="AM27" s="142">
        <f t="shared" si="20"/>
        <v>0</v>
      </c>
      <c r="AN27" s="142">
        <f t="shared" si="21"/>
        <v>0</v>
      </c>
      <c r="AO27" s="159"/>
      <c r="AP27" s="159"/>
      <c r="AQ27" s="159"/>
      <c r="AR27" s="159"/>
      <c r="AS27" s="169"/>
      <c r="AT27" s="169"/>
      <c r="AU27" s="169"/>
      <c r="AV27" s="169"/>
      <c r="AW27" s="169"/>
    </row>
    <row r="28" spans="1:49" s="42" customFormat="1" ht="34.15" customHeight="1">
      <c r="A28" s="270">
        <v>18</v>
      </c>
      <c r="B28" s="258"/>
      <c r="C28" s="309"/>
      <c r="D28" s="260"/>
      <c r="E28" s="258"/>
      <c r="F28" s="84">
        <f t="shared" si="0"/>
        <v>0</v>
      </c>
      <c r="G28" s="85">
        <f t="shared" si="1"/>
        <v>0</v>
      </c>
      <c r="H28" s="260"/>
      <c r="I28" s="258"/>
      <c r="J28" s="84">
        <f t="shared" si="2"/>
        <v>0</v>
      </c>
      <c r="K28" s="85">
        <f t="shared" si="3"/>
        <v>0</v>
      </c>
      <c r="L28" s="260"/>
      <c r="M28" s="258"/>
      <c r="N28" s="84">
        <f t="shared" si="4"/>
        <v>0</v>
      </c>
      <c r="O28" s="85">
        <f t="shared" si="5"/>
        <v>0</v>
      </c>
      <c r="P28" s="260"/>
      <c r="Q28" s="258"/>
      <c r="R28" s="84">
        <f t="shared" si="6"/>
        <v>0</v>
      </c>
      <c r="S28" s="85">
        <f t="shared" si="7"/>
        <v>0</v>
      </c>
      <c r="T28" s="201">
        <f t="shared" si="8"/>
        <v>0</v>
      </c>
      <c r="U28" s="205">
        <f t="shared" si="9"/>
        <v>0</v>
      </c>
      <c r="V28" s="223">
        <f t="shared" si="10"/>
        <v>-1</v>
      </c>
      <c r="W28" s="224">
        <f t="shared" si="11"/>
        <v>0</v>
      </c>
      <c r="X28" s="225">
        <f t="shared" si="12"/>
        <v>0</v>
      </c>
      <c r="Y28" s="515">
        <v>18</v>
      </c>
      <c r="Z28" s="61">
        <f t="shared" si="13"/>
        <v>-1</v>
      </c>
      <c r="AA28" s="142">
        <f t="shared" si="14"/>
        <v>0</v>
      </c>
      <c r="AB28" s="142">
        <f t="shared" si="15"/>
        <v>0</v>
      </c>
      <c r="AC28" s="159"/>
      <c r="AD28" s="159"/>
      <c r="AE28" s="142">
        <f t="shared" si="16"/>
        <v>0</v>
      </c>
      <c r="AF28" s="142">
        <f t="shared" si="17"/>
        <v>0</v>
      </c>
      <c r="AG28" s="159"/>
      <c r="AH28" s="159"/>
      <c r="AI28" s="142">
        <f t="shared" si="18"/>
        <v>0</v>
      </c>
      <c r="AJ28" s="142">
        <f t="shared" si="19"/>
        <v>0</v>
      </c>
      <c r="AK28" s="159"/>
      <c r="AL28" s="159"/>
      <c r="AM28" s="142">
        <f t="shared" si="20"/>
        <v>0</v>
      </c>
      <c r="AN28" s="142">
        <f t="shared" si="21"/>
        <v>0</v>
      </c>
      <c r="AO28" s="159"/>
      <c r="AP28" s="159"/>
      <c r="AQ28" s="159"/>
      <c r="AR28" s="159"/>
      <c r="AS28" s="169"/>
      <c r="AT28" s="169"/>
      <c r="AU28" s="169"/>
      <c r="AV28" s="169"/>
      <c r="AW28" s="169"/>
    </row>
    <row r="29" spans="1:49" s="42" customFormat="1" ht="34.15" customHeight="1">
      <c r="A29" s="270">
        <v>19</v>
      </c>
      <c r="B29" s="258"/>
      <c r="C29" s="309"/>
      <c r="D29" s="260"/>
      <c r="E29" s="258"/>
      <c r="F29" s="84">
        <f t="shared" si="0"/>
        <v>0</v>
      </c>
      <c r="G29" s="85">
        <f t="shared" si="1"/>
        <v>0</v>
      </c>
      <c r="H29" s="260"/>
      <c r="I29" s="258"/>
      <c r="J29" s="84">
        <f t="shared" si="2"/>
        <v>0</v>
      </c>
      <c r="K29" s="85">
        <f t="shared" si="3"/>
        <v>0</v>
      </c>
      <c r="L29" s="260"/>
      <c r="M29" s="258"/>
      <c r="N29" s="84">
        <f t="shared" si="4"/>
        <v>0</v>
      </c>
      <c r="O29" s="85">
        <f t="shared" si="5"/>
        <v>0</v>
      </c>
      <c r="P29" s="260"/>
      <c r="Q29" s="258"/>
      <c r="R29" s="84">
        <f t="shared" si="6"/>
        <v>0</v>
      </c>
      <c r="S29" s="85">
        <f t="shared" si="7"/>
        <v>0</v>
      </c>
      <c r="T29" s="201">
        <f t="shared" si="8"/>
        <v>0</v>
      </c>
      <c r="U29" s="205">
        <f t="shared" si="9"/>
        <v>0</v>
      </c>
      <c r="V29" s="223">
        <f t="shared" si="10"/>
        <v>-1</v>
      </c>
      <c r="W29" s="224">
        <f t="shared" si="11"/>
        <v>0</v>
      </c>
      <c r="X29" s="225">
        <f t="shared" si="12"/>
        <v>0</v>
      </c>
      <c r="Y29" s="515">
        <v>19</v>
      </c>
      <c r="Z29" s="61">
        <f t="shared" si="13"/>
        <v>-1</v>
      </c>
      <c r="AA29" s="142">
        <f t="shared" si="14"/>
        <v>0</v>
      </c>
      <c r="AB29" s="142">
        <f t="shared" si="15"/>
        <v>0</v>
      </c>
      <c r="AC29" s="159"/>
      <c r="AD29" s="159"/>
      <c r="AE29" s="142">
        <f t="shared" si="16"/>
        <v>0</v>
      </c>
      <c r="AF29" s="142">
        <f t="shared" si="17"/>
        <v>0</v>
      </c>
      <c r="AG29" s="159"/>
      <c r="AH29" s="159"/>
      <c r="AI29" s="142">
        <f t="shared" si="18"/>
        <v>0</v>
      </c>
      <c r="AJ29" s="142">
        <f t="shared" si="19"/>
        <v>0</v>
      </c>
      <c r="AK29" s="159"/>
      <c r="AL29" s="159"/>
      <c r="AM29" s="142">
        <f t="shared" si="20"/>
        <v>0</v>
      </c>
      <c r="AN29" s="142">
        <f t="shared" si="21"/>
        <v>0</v>
      </c>
      <c r="AO29" s="159"/>
      <c r="AP29" s="159"/>
      <c r="AQ29" s="159"/>
      <c r="AR29" s="159"/>
      <c r="AS29" s="169"/>
      <c r="AT29" s="169"/>
      <c r="AU29" s="169"/>
      <c r="AV29" s="169"/>
      <c r="AW29" s="169"/>
    </row>
    <row r="30" spans="1:49" s="42" customFormat="1" ht="34.15" customHeight="1">
      <c r="A30" s="270">
        <v>20</v>
      </c>
      <c r="B30" s="258"/>
      <c r="C30" s="309"/>
      <c r="D30" s="260"/>
      <c r="E30" s="258"/>
      <c r="F30" s="84">
        <f t="shared" si="0"/>
        <v>0</v>
      </c>
      <c r="G30" s="85">
        <f t="shared" si="1"/>
        <v>0</v>
      </c>
      <c r="H30" s="260"/>
      <c r="I30" s="258"/>
      <c r="J30" s="84">
        <f t="shared" si="2"/>
        <v>0</v>
      </c>
      <c r="K30" s="85">
        <f t="shared" si="3"/>
        <v>0</v>
      </c>
      <c r="L30" s="260"/>
      <c r="M30" s="258"/>
      <c r="N30" s="84">
        <f t="shared" si="4"/>
        <v>0</v>
      </c>
      <c r="O30" s="85">
        <f t="shared" si="5"/>
        <v>0</v>
      </c>
      <c r="P30" s="260"/>
      <c r="Q30" s="258"/>
      <c r="R30" s="84">
        <f t="shared" si="6"/>
        <v>0</v>
      </c>
      <c r="S30" s="85">
        <f t="shared" si="7"/>
        <v>0</v>
      </c>
      <c r="T30" s="201">
        <f t="shared" si="8"/>
        <v>0</v>
      </c>
      <c r="U30" s="205">
        <f t="shared" si="9"/>
        <v>0</v>
      </c>
      <c r="V30" s="223">
        <f t="shared" si="10"/>
        <v>-1</v>
      </c>
      <c r="W30" s="224">
        <f t="shared" si="11"/>
        <v>0</v>
      </c>
      <c r="X30" s="225">
        <f t="shared" si="12"/>
        <v>0</v>
      </c>
      <c r="Y30" s="515">
        <v>20</v>
      </c>
      <c r="Z30" s="61">
        <f t="shared" si="13"/>
        <v>-1</v>
      </c>
      <c r="AA30" s="142">
        <f t="shared" si="14"/>
        <v>0</v>
      </c>
      <c r="AB30" s="142">
        <f t="shared" si="15"/>
        <v>0</v>
      </c>
      <c r="AC30" s="159"/>
      <c r="AD30" s="159"/>
      <c r="AE30" s="142">
        <f t="shared" si="16"/>
        <v>0</v>
      </c>
      <c r="AF30" s="142">
        <f t="shared" si="17"/>
        <v>0</v>
      </c>
      <c r="AG30" s="159"/>
      <c r="AH30" s="159"/>
      <c r="AI30" s="142">
        <f t="shared" si="18"/>
        <v>0</v>
      </c>
      <c r="AJ30" s="142">
        <f t="shared" si="19"/>
        <v>0</v>
      </c>
      <c r="AK30" s="159"/>
      <c r="AL30" s="159"/>
      <c r="AM30" s="142">
        <f t="shared" si="20"/>
        <v>0</v>
      </c>
      <c r="AN30" s="142">
        <f t="shared" si="21"/>
        <v>0</v>
      </c>
      <c r="AO30" s="159"/>
      <c r="AP30" s="159"/>
      <c r="AQ30" s="159"/>
      <c r="AR30" s="159"/>
      <c r="AS30" s="169"/>
      <c r="AT30" s="169"/>
      <c r="AU30" s="169"/>
      <c r="AV30" s="169"/>
      <c r="AW30" s="169"/>
    </row>
    <row r="31" spans="1:49" s="42" customFormat="1" ht="34.15" customHeight="1">
      <c r="A31" s="270">
        <v>21</v>
      </c>
      <c r="B31" s="258"/>
      <c r="C31" s="309"/>
      <c r="D31" s="260"/>
      <c r="E31" s="258"/>
      <c r="F31" s="84">
        <f t="shared" si="0"/>
        <v>0</v>
      </c>
      <c r="G31" s="85">
        <f t="shared" si="1"/>
        <v>0</v>
      </c>
      <c r="H31" s="260"/>
      <c r="I31" s="258"/>
      <c r="J31" s="84">
        <f t="shared" si="2"/>
        <v>0</v>
      </c>
      <c r="K31" s="85">
        <f t="shared" si="3"/>
        <v>0</v>
      </c>
      <c r="L31" s="260"/>
      <c r="M31" s="258"/>
      <c r="N31" s="84">
        <f t="shared" si="4"/>
        <v>0</v>
      </c>
      <c r="O31" s="85">
        <f t="shared" si="5"/>
        <v>0</v>
      </c>
      <c r="P31" s="260"/>
      <c r="Q31" s="258"/>
      <c r="R31" s="84">
        <f t="shared" si="6"/>
        <v>0</v>
      </c>
      <c r="S31" s="85">
        <f t="shared" si="7"/>
        <v>0</v>
      </c>
      <c r="T31" s="201">
        <f t="shared" si="8"/>
        <v>0</v>
      </c>
      <c r="U31" s="205">
        <f t="shared" si="9"/>
        <v>0</v>
      </c>
      <c r="V31" s="223">
        <f t="shared" si="10"/>
        <v>-1</v>
      </c>
      <c r="W31" s="224">
        <f t="shared" si="11"/>
        <v>0</v>
      </c>
      <c r="X31" s="225">
        <f t="shared" si="12"/>
        <v>0</v>
      </c>
      <c r="Y31" s="515">
        <v>21</v>
      </c>
      <c r="Z31" s="61">
        <f t="shared" si="13"/>
        <v>-1</v>
      </c>
      <c r="AA31" s="142">
        <f t="shared" si="14"/>
        <v>0</v>
      </c>
      <c r="AB31" s="142">
        <f t="shared" si="15"/>
        <v>0</v>
      </c>
      <c r="AC31" s="159"/>
      <c r="AD31" s="159"/>
      <c r="AE31" s="142">
        <f t="shared" si="16"/>
        <v>0</v>
      </c>
      <c r="AF31" s="142">
        <f t="shared" si="17"/>
        <v>0</v>
      </c>
      <c r="AG31" s="159"/>
      <c r="AH31" s="159"/>
      <c r="AI31" s="142">
        <f t="shared" si="18"/>
        <v>0</v>
      </c>
      <c r="AJ31" s="142">
        <f t="shared" si="19"/>
        <v>0</v>
      </c>
      <c r="AK31" s="159"/>
      <c r="AL31" s="159"/>
      <c r="AM31" s="142">
        <f t="shared" si="20"/>
        <v>0</v>
      </c>
      <c r="AN31" s="142">
        <f t="shared" si="21"/>
        <v>0</v>
      </c>
      <c r="AO31" s="159"/>
      <c r="AP31" s="159"/>
      <c r="AQ31" s="159"/>
      <c r="AR31" s="159"/>
      <c r="AS31" s="169"/>
      <c r="AT31" s="169"/>
      <c r="AU31" s="169"/>
      <c r="AV31" s="169"/>
      <c r="AW31" s="169"/>
    </row>
    <row r="32" spans="1:49" s="42" customFormat="1" ht="34.15" customHeight="1">
      <c r="A32" s="270">
        <v>22</v>
      </c>
      <c r="B32" s="258"/>
      <c r="C32" s="309"/>
      <c r="D32" s="276"/>
      <c r="E32" s="275"/>
      <c r="F32" s="84">
        <f t="shared" si="0"/>
        <v>0</v>
      </c>
      <c r="G32" s="85">
        <f t="shared" si="1"/>
        <v>0</v>
      </c>
      <c r="H32" s="260"/>
      <c r="I32" s="258"/>
      <c r="J32" s="84">
        <f t="shared" si="2"/>
        <v>0</v>
      </c>
      <c r="K32" s="85">
        <f t="shared" si="3"/>
        <v>0</v>
      </c>
      <c r="L32" s="292"/>
      <c r="M32" s="290"/>
      <c r="N32" s="84">
        <f t="shared" si="4"/>
        <v>0</v>
      </c>
      <c r="O32" s="85">
        <f t="shared" si="5"/>
        <v>0</v>
      </c>
      <c r="P32" s="292"/>
      <c r="Q32" s="290"/>
      <c r="R32" s="84">
        <f t="shared" si="6"/>
        <v>0</v>
      </c>
      <c r="S32" s="85">
        <f t="shared" si="7"/>
        <v>0</v>
      </c>
      <c r="T32" s="201">
        <f t="shared" si="8"/>
        <v>0</v>
      </c>
      <c r="U32" s="205">
        <f t="shared" si="9"/>
        <v>0</v>
      </c>
      <c r="V32" s="223">
        <f t="shared" si="10"/>
        <v>-1</v>
      </c>
      <c r="W32" s="224">
        <f t="shared" si="11"/>
        <v>0</v>
      </c>
      <c r="X32" s="225">
        <f t="shared" si="12"/>
        <v>0</v>
      </c>
      <c r="Y32" s="515">
        <v>22</v>
      </c>
      <c r="Z32" s="61">
        <f t="shared" si="13"/>
        <v>-1</v>
      </c>
      <c r="AA32" s="142">
        <f t="shared" si="14"/>
        <v>0</v>
      </c>
      <c r="AB32" s="142">
        <f t="shared" si="15"/>
        <v>0</v>
      </c>
      <c r="AC32" s="159"/>
      <c r="AD32" s="159"/>
      <c r="AE32" s="142">
        <f t="shared" si="16"/>
        <v>0</v>
      </c>
      <c r="AF32" s="142">
        <f t="shared" si="17"/>
        <v>0</v>
      </c>
      <c r="AG32" s="159"/>
      <c r="AH32" s="159"/>
      <c r="AI32" s="142">
        <f t="shared" si="18"/>
        <v>0</v>
      </c>
      <c r="AJ32" s="142">
        <f t="shared" si="19"/>
        <v>0</v>
      </c>
      <c r="AK32" s="159"/>
      <c r="AL32" s="159"/>
      <c r="AM32" s="142">
        <f t="shared" si="20"/>
        <v>0</v>
      </c>
      <c r="AN32" s="142">
        <f t="shared" si="21"/>
        <v>0</v>
      </c>
      <c r="AO32" s="159"/>
      <c r="AP32" s="159"/>
      <c r="AQ32" s="159"/>
      <c r="AR32" s="159"/>
      <c r="AS32" s="169"/>
      <c r="AT32" s="169"/>
      <c r="AU32" s="169"/>
      <c r="AV32" s="169"/>
      <c r="AW32" s="169"/>
    </row>
    <row r="33" spans="1:49" s="42" customFormat="1" ht="34.15" customHeight="1">
      <c r="A33" s="270">
        <v>23</v>
      </c>
      <c r="B33" s="258"/>
      <c r="C33" s="309"/>
      <c r="D33" s="260"/>
      <c r="E33" s="258"/>
      <c r="F33" s="84">
        <f t="shared" si="0"/>
        <v>0</v>
      </c>
      <c r="G33" s="85">
        <f t="shared" si="1"/>
        <v>0</v>
      </c>
      <c r="H33" s="260"/>
      <c r="I33" s="258"/>
      <c r="J33" s="84">
        <f t="shared" si="2"/>
        <v>0</v>
      </c>
      <c r="K33" s="85">
        <f t="shared" si="3"/>
        <v>0</v>
      </c>
      <c r="L33" s="260"/>
      <c r="M33" s="258"/>
      <c r="N33" s="84">
        <f t="shared" si="4"/>
        <v>0</v>
      </c>
      <c r="O33" s="85">
        <f t="shared" si="5"/>
        <v>0</v>
      </c>
      <c r="P33" s="260"/>
      <c r="Q33" s="258"/>
      <c r="R33" s="84">
        <f t="shared" si="6"/>
        <v>0</v>
      </c>
      <c r="S33" s="85">
        <f t="shared" si="7"/>
        <v>0</v>
      </c>
      <c r="T33" s="201">
        <f t="shared" si="8"/>
        <v>0</v>
      </c>
      <c r="U33" s="205">
        <f t="shared" si="9"/>
        <v>0</v>
      </c>
      <c r="V33" s="223">
        <f t="shared" si="10"/>
        <v>-1</v>
      </c>
      <c r="W33" s="224">
        <f t="shared" si="11"/>
        <v>0</v>
      </c>
      <c r="X33" s="225">
        <f t="shared" si="12"/>
        <v>0</v>
      </c>
      <c r="Y33" s="515">
        <v>23</v>
      </c>
      <c r="Z33" s="61">
        <f t="shared" si="13"/>
        <v>-1</v>
      </c>
      <c r="AA33" s="142">
        <f t="shared" si="14"/>
        <v>0</v>
      </c>
      <c r="AB33" s="142">
        <f t="shared" si="15"/>
        <v>0</v>
      </c>
      <c r="AC33" s="159"/>
      <c r="AD33" s="159"/>
      <c r="AE33" s="142">
        <f t="shared" si="16"/>
        <v>0</v>
      </c>
      <c r="AF33" s="142">
        <f t="shared" si="17"/>
        <v>0</v>
      </c>
      <c r="AG33" s="159"/>
      <c r="AH33" s="159"/>
      <c r="AI33" s="142">
        <f t="shared" si="18"/>
        <v>0</v>
      </c>
      <c r="AJ33" s="142">
        <f t="shared" si="19"/>
        <v>0</v>
      </c>
      <c r="AK33" s="159"/>
      <c r="AL33" s="159"/>
      <c r="AM33" s="142">
        <f t="shared" si="20"/>
        <v>0</v>
      </c>
      <c r="AN33" s="142">
        <f t="shared" si="21"/>
        <v>0</v>
      </c>
      <c r="AO33" s="159"/>
      <c r="AP33" s="159"/>
      <c r="AQ33" s="159"/>
      <c r="AR33" s="159"/>
      <c r="AS33" s="169"/>
      <c r="AT33" s="169"/>
      <c r="AU33" s="169"/>
      <c r="AV33" s="169"/>
      <c r="AW33" s="169"/>
    </row>
    <row r="34" spans="1:49" s="42" customFormat="1" ht="34.15" customHeight="1" thickBot="1">
      <c r="A34" s="272">
        <v>24</v>
      </c>
      <c r="B34" s="259"/>
      <c r="C34" s="312"/>
      <c r="D34" s="260"/>
      <c r="E34" s="258"/>
      <c r="F34" s="193">
        <f t="shared" si="0"/>
        <v>0</v>
      </c>
      <c r="G34" s="194">
        <f t="shared" si="1"/>
        <v>0</v>
      </c>
      <c r="H34" s="260"/>
      <c r="I34" s="258"/>
      <c r="J34" s="193">
        <f t="shared" si="2"/>
        <v>0</v>
      </c>
      <c r="K34" s="194">
        <f t="shared" si="3"/>
        <v>0</v>
      </c>
      <c r="L34" s="260"/>
      <c r="M34" s="258"/>
      <c r="N34" s="193">
        <f t="shared" si="4"/>
        <v>0</v>
      </c>
      <c r="O34" s="194">
        <f t="shared" si="5"/>
        <v>0</v>
      </c>
      <c r="P34" s="260"/>
      <c r="Q34" s="258"/>
      <c r="R34" s="193">
        <f t="shared" si="6"/>
        <v>0</v>
      </c>
      <c r="S34" s="194">
        <f t="shared" si="7"/>
        <v>0</v>
      </c>
      <c r="T34" s="202">
        <f t="shared" si="8"/>
        <v>0</v>
      </c>
      <c r="U34" s="207">
        <f t="shared" si="9"/>
        <v>0</v>
      </c>
      <c r="V34" s="227">
        <f t="shared" si="10"/>
        <v>-1</v>
      </c>
      <c r="W34" s="228">
        <f t="shared" si="11"/>
        <v>0</v>
      </c>
      <c r="X34" s="230">
        <f t="shared" si="12"/>
        <v>0</v>
      </c>
      <c r="Y34" s="516">
        <v>24</v>
      </c>
      <c r="Z34" s="61">
        <f t="shared" si="13"/>
        <v>-1</v>
      </c>
      <c r="AA34" s="142">
        <f t="shared" si="14"/>
        <v>0</v>
      </c>
      <c r="AB34" s="142">
        <f t="shared" si="15"/>
        <v>0</v>
      </c>
      <c r="AC34" s="159"/>
      <c r="AD34" s="159"/>
      <c r="AE34" s="142">
        <f t="shared" si="16"/>
        <v>0</v>
      </c>
      <c r="AF34" s="142">
        <f t="shared" si="17"/>
        <v>0</v>
      </c>
      <c r="AG34" s="159"/>
      <c r="AH34" s="159"/>
      <c r="AI34" s="142">
        <f t="shared" si="18"/>
        <v>0</v>
      </c>
      <c r="AJ34" s="142">
        <f t="shared" si="19"/>
        <v>0</v>
      </c>
      <c r="AK34" s="159"/>
      <c r="AL34" s="159"/>
      <c r="AM34" s="142">
        <f t="shared" si="20"/>
        <v>0</v>
      </c>
      <c r="AN34" s="142">
        <f t="shared" si="21"/>
        <v>0</v>
      </c>
      <c r="AO34" s="159"/>
      <c r="AP34" s="159"/>
      <c r="AQ34" s="159"/>
      <c r="AR34" s="159"/>
      <c r="AS34" s="169"/>
      <c r="AT34" s="169"/>
      <c r="AU34" s="169"/>
      <c r="AV34" s="169"/>
      <c r="AW34" s="169"/>
    </row>
    <row r="35" spans="1:49" s="42" customFormat="1" ht="34.15" customHeight="1">
      <c r="A35" s="268">
        <v>25</v>
      </c>
      <c r="B35" s="261"/>
      <c r="C35" s="308"/>
      <c r="D35" s="263"/>
      <c r="E35" s="261"/>
      <c r="F35" s="176">
        <f t="shared" si="0"/>
        <v>0</v>
      </c>
      <c r="G35" s="177">
        <f t="shared" si="1"/>
        <v>0</v>
      </c>
      <c r="H35" s="263"/>
      <c r="I35" s="261"/>
      <c r="J35" s="176">
        <f t="shared" si="2"/>
        <v>0</v>
      </c>
      <c r="K35" s="177">
        <f t="shared" si="3"/>
        <v>0</v>
      </c>
      <c r="L35" s="263"/>
      <c r="M35" s="261"/>
      <c r="N35" s="176">
        <f t="shared" si="4"/>
        <v>0</v>
      </c>
      <c r="O35" s="177">
        <f t="shared" si="5"/>
        <v>0</v>
      </c>
      <c r="P35" s="263"/>
      <c r="Q35" s="261"/>
      <c r="R35" s="176">
        <f t="shared" si="6"/>
        <v>0</v>
      </c>
      <c r="S35" s="177">
        <f t="shared" si="7"/>
        <v>0</v>
      </c>
      <c r="T35" s="200">
        <f t="shared" si="8"/>
        <v>0</v>
      </c>
      <c r="U35" s="206">
        <f t="shared" si="9"/>
        <v>0</v>
      </c>
      <c r="V35" s="221">
        <f t="shared" si="10"/>
        <v>-1</v>
      </c>
      <c r="W35" s="229">
        <f t="shared" si="11"/>
        <v>0</v>
      </c>
      <c r="X35" s="222">
        <f t="shared" si="12"/>
        <v>0</v>
      </c>
      <c r="Y35" s="517">
        <v>25</v>
      </c>
      <c r="Z35" s="61">
        <f t="shared" si="13"/>
        <v>-1</v>
      </c>
      <c r="AA35" s="142">
        <f t="shared" si="14"/>
        <v>0</v>
      </c>
      <c r="AB35" s="142">
        <f t="shared" si="15"/>
        <v>0</v>
      </c>
      <c r="AC35" s="159"/>
      <c r="AD35" s="159"/>
      <c r="AE35" s="142">
        <f t="shared" si="16"/>
        <v>0</v>
      </c>
      <c r="AF35" s="142">
        <f t="shared" si="17"/>
        <v>0</v>
      </c>
      <c r="AG35" s="159"/>
      <c r="AH35" s="159"/>
      <c r="AI35" s="142">
        <f t="shared" si="18"/>
        <v>0</v>
      </c>
      <c r="AJ35" s="142">
        <f t="shared" si="19"/>
        <v>0</v>
      </c>
      <c r="AK35" s="159"/>
      <c r="AL35" s="159"/>
      <c r="AM35" s="142">
        <f t="shared" si="20"/>
        <v>0</v>
      </c>
      <c r="AN35" s="142">
        <f t="shared" si="21"/>
        <v>0</v>
      </c>
      <c r="AO35" s="159"/>
      <c r="AP35" s="159"/>
      <c r="AQ35" s="159"/>
      <c r="AR35" s="159"/>
      <c r="AS35" s="169"/>
      <c r="AT35" s="169"/>
      <c r="AU35" s="169"/>
      <c r="AV35" s="169"/>
      <c r="AW35" s="169"/>
    </row>
    <row r="36" spans="1:49" s="42" customFormat="1" ht="34.15" customHeight="1">
      <c r="A36" s="270">
        <v>26</v>
      </c>
      <c r="B36" s="258"/>
      <c r="C36" s="309"/>
      <c r="D36" s="260"/>
      <c r="E36" s="258"/>
      <c r="F36" s="84">
        <f t="shared" si="0"/>
        <v>0</v>
      </c>
      <c r="G36" s="85">
        <f t="shared" si="1"/>
        <v>0</v>
      </c>
      <c r="H36" s="260"/>
      <c r="I36" s="258"/>
      <c r="J36" s="84">
        <f t="shared" si="2"/>
        <v>0</v>
      </c>
      <c r="K36" s="85">
        <f t="shared" si="3"/>
        <v>0</v>
      </c>
      <c r="L36" s="260"/>
      <c r="M36" s="258"/>
      <c r="N36" s="84">
        <f t="shared" si="4"/>
        <v>0</v>
      </c>
      <c r="O36" s="85">
        <f t="shared" si="5"/>
        <v>0</v>
      </c>
      <c r="P36" s="260"/>
      <c r="Q36" s="258"/>
      <c r="R36" s="84">
        <f t="shared" si="6"/>
        <v>0</v>
      </c>
      <c r="S36" s="85">
        <f t="shared" si="7"/>
        <v>0</v>
      </c>
      <c r="T36" s="201">
        <f t="shared" si="8"/>
        <v>0</v>
      </c>
      <c r="U36" s="205">
        <f t="shared" si="9"/>
        <v>0</v>
      </c>
      <c r="V36" s="223">
        <f t="shared" si="10"/>
        <v>-1</v>
      </c>
      <c r="W36" s="224">
        <f t="shared" si="11"/>
        <v>0</v>
      </c>
      <c r="X36" s="225">
        <f t="shared" si="12"/>
        <v>0</v>
      </c>
      <c r="Y36" s="515">
        <v>26</v>
      </c>
      <c r="Z36" s="61">
        <f t="shared" si="13"/>
        <v>-1</v>
      </c>
      <c r="AA36" s="142">
        <f t="shared" si="14"/>
        <v>0</v>
      </c>
      <c r="AB36" s="142">
        <f t="shared" si="15"/>
        <v>0</v>
      </c>
      <c r="AC36" s="159"/>
      <c r="AD36" s="159"/>
      <c r="AE36" s="142">
        <f t="shared" si="16"/>
        <v>0</v>
      </c>
      <c r="AF36" s="142">
        <f t="shared" si="17"/>
        <v>0</v>
      </c>
      <c r="AG36" s="159"/>
      <c r="AH36" s="159"/>
      <c r="AI36" s="142">
        <f t="shared" si="18"/>
        <v>0</v>
      </c>
      <c r="AJ36" s="142">
        <f t="shared" si="19"/>
        <v>0</v>
      </c>
      <c r="AK36" s="159"/>
      <c r="AL36" s="159"/>
      <c r="AM36" s="142">
        <f t="shared" si="20"/>
        <v>0</v>
      </c>
      <c r="AN36" s="142">
        <f t="shared" si="21"/>
        <v>0</v>
      </c>
      <c r="AO36" s="159"/>
      <c r="AP36" s="159"/>
      <c r="AQ36" s="159"/>
      <c r="AR36" s="159"/>
      <c r="AS36" s="169"/>
      <c r="AT36" s="169"/>
      <c r="AU36" s="169"/>
      <c r="AV36" s="169"/>
      <c r="AW36" s="169"/>
    </row>
    <row r="37" spans="1:49" s="42" customFormat="1" ht="34.15" customHeight="1">
      <c r="A37" s="270">
        <v>27</v>
      </c>
      <c r="B37" s="258"/>
      <c r="C37" s="309"/>
      <c r="D37" s="260"/>
      <c r="E37" s="258"/>
      <c r="F37" s="84">
        <f t="shared" si="0"/>
        <v>0</v>
      </c>
      <c r="G37" s="85">
        <f t="shared" si="1"/>
        <v>0</v>
      </c>
      <c r="H37" s="260"/>
      <c r="I37" s="258"/>
      <c r="J37" s="84">
        <f t="shared" si="2"/>
        <v>0</v>
      </c>
      <c r="K37" s="85">
        <f t="shared" si="3"/>
        <v>0</v>
      </c>
      <c r="L37" s="260"/>
      <c r="M37" s="258"/>
      <c r="N37" s="84">
        <f t="shared" si="4"/>
        <v>0</v>
      </c>
      <c r="O37" s="85">
        <f t="shared" si="5"/>
        <v>0</v>
      </c>
      <c r="P37" s="260"/>
      <c r="Q37" s="258"/>
      <c r="R37" s="84">
        <f t="shared" si="6"/>
        <v>0</v>
      </c>
      <c r="S37" s="85">
        <f t="shared" si="7"/>
        <v>0</v>
      </c>
      <c r="T37" s="201">
        <f t="shared" si="8"/>
        <v>0</v>
      </c>
      <c r="U37" s="205">
        <f t="shared" si="9"/>
        <v>0</v>
      </c>
      <c r="V37" s="223">
        <f t="shared" si="10"/>
        <v>-1</v>
      </c>
      <c r="W37" s="224">
        <f t="shared" si="11"/>
        <v>0</v>
      </c>
      <c r="X37" s="225">
        <f t="shared" si="12"/>
        <v>0</v>
      </c>
      <c r="Y37" s="515">
        <v>27</v>
      </c>
      <c r="Z37" s="61">
        <f t="shared" si="13"/>
        <v>-1</v>
      </c>
      <c r="AA37" s="142">
        <f t="shared" si="14"/>
        <v>0</v>
      </c>
      <c r="AB37" s="142">
        <f t="shared" si="15"/>
        <v>0</v>
      </c>
      <c r="AC37" s="159"/>
      <c r="AD37" s="159"/>
      <c r="AE37" s="142">
        <f t="shared" si="16"/>
        <v>0</v>
      </c>
      <c r="AF37" s="142">
        <f t="shared" si="17"/>
        <v>0</v>
      </c>
      <c r="AG37" s="159"/>
      <c r="AH37" s="159"/>
      <c r="AI37" s="142">
        <f t="shared" si="18"/>
        <v>0</v>
      </c>
      <c r="AJ37" s="142">
        <f t="shared" si="19"/>
        <v>0</v>
      </c>
      <c r="AK37" s="159"/>
      <c r="AL37" s="159"/>
      <c r="AM37" s="142">
        <f t="shared" si="20"/>
        <v>0</v>
      </c>
      <c r="AN37" s="142">
        <f t="shared" si="21"/>
        <v>0</v>
      </c>
      <c r="AO37" s="159"/>
      <c r="AP37" s="159"/>
      <c r="AQ37" s="159"/>
      <c r="AR37" s="159"/>
      <c r="AS37" s="169"/>
      <c r="AT37" s="169"/>
      <c r="AU37" s="169"/>
      <c r="AV37" s="169"/>
      <c r="AW37" s="169"/>
    </row>
    <row r="38" spans="1:49" s="42" customFormat="1" ht="34.15" customHeight="1">
      <c r="A38" s="270">
        <v>28</v>
      </c>
      <c r="B38" s="258"/>
      <c r="C38" s="309"/>
      <c r="D38" s="260"/>
      <c r="E38" s="258"/>
      <c r="F38" s="84">
        <f t="shared" si="0"/>
        <v>0</v>
      </c>
      <c r="G38" s="85">
        <f t="shared" si="1"/>
        <v>0</v>
      </c>
      <c r="H38" s="260"/>
      <c r="I38" s="258"/>
      <c r="J38" s="84">
        <f t="shared" si="2"/>
        <v>0</v>
      </c>
      <c r="K38" s="85">
        <f t="shared" si="3"/>
        <v>0</v>
      </c>
      <c r="L38" s="260"/>
      <c r="M38" s="258"/>
      <c r="N38" s="84">
        <f t="shared" si="4"/>
        <v>0</v>
      </c>
      <c r="O38" s="85">
        <f t="shared" si="5"/>
        <v>0</v>
      </c>
      <c r="P38" s="260"/>
      <c r="Q38" s="258"/>
      <c r="R38" s="84">
        <f t="shared" si="6"/>
        <v>0</v>
      </c>
      <c r="S38" s="85">
        <f t="shared" si="7"/>
        <v>0</v>
      </c>
      <c r="T38" s="201">
        <f t="shared" si="8"/>
        <v>0</v>
      </c>
      <c r="U38" s="205">
        <f t="shared" si="9"/>
        <v>0</v>
      </c>
      <c r="V38" s="223">
        <f t="shared" si="10"/>
        <v>-1</v>
      </c>
      <c r="W38" s="224">
        <f t="shared" si="11"/>
        <v>0</v>
      </c>
      <c r="X38" s="225">
        <f t="shared" si="12"/>
        <v>0</v>
      </c>
      <c r="Y38" s="515">
        <v>28</v>
      </c>
      <c r="Z38" s="61">
        <f t="shared" si="13"/>
        <v>-1</v>
      </c>
      <c r="AA38" s="142">
        <f t="shared" si="14"/>
        <v>0</v>
      </c>
      <c r="AB38" s="142">
        <f t="shared" si="15"/>
        <v>0</v>
      </c>
      <c r="AC38" s="159"/>
      <c r="AD38" s="159"/>
      <c r="AE38" s="142">
        <f t="shared" si="16"/>
        <v>0</v>
      </c>
      <c r="AF38" s="142">
        <f t="shared" si="17"/>
        <v>0</v>
      </c>
      <c r="AG38" s="159"/>
      <c r="AH38" s="159"/>
      <c r="AI38" s="142">
        <f t="shared" si="18"/>
        <v>0</v>
      </c>
      <c r="AJ38" s="142">
        <f t="shared" si="19"/>
        <v>0</v>
      </c>
      <c r="AK38" s="159"/>
      <c r="AL38" s="159"/>
      <c r="AM38" s="142">
        <f t="shared" si="20"/>
        <v>0</v>
      </c>
      <c r="AN38" s="142">
        <f t="shared" si="21"/>
        <v>0</v>
      </c>
      <c r="AO38" s="159"/>
      <c r="AP38" s="159"/>
      <c r="AQ38" s="159"/>
      <c r="AR38" s="159"/>
      <c r="AS38" s="169"/>
      <c r="AT38" s="169"/>
      <c r="AU38" s="169"/>
      <c r="AV38" s="169"/>
      <c r="AW38" s="169"/>
    </row>
    <row r="39" spans="1:49" s="42" customFormat="1" ht="34.15" customHeight="1">
      <c r="A39" s="270">
        <v>29</v>
      </c>
      <c r="B39" s="258"/>
      <c r="C39" s="309"/>
      <c r="D39" s="260"/>
      <c r="E39" s="258"/>
      <c r="F39" s="84">
        <f t="shared" si="0"/>
        <v>0</v>
      </c>
      <c r="G39" s="85">
        <f t="shared" si="1"/>
        <v>0</v>
      </c>
      <c r="H39" s="260"/>
      <c r="I39" s="258"/>
      <c r="J39" s="84">
        <f t="shared" si="2"/>
        <v>0</v>
      </c>
      <c r="K39" s="85">
        <f t="shared" si="3"/>
        <v>0</v>
      </c>
      <c r="L39" s="260"/>
      <c r="M39" s="258"/>
      <c r="N39" s="84">
        <f t="shared" si="4"/>
        <v>0</v>
      </c>
      <c r="O39" s="85">
        <f t="shared" si="5"/>
        <v>0</v>
      </c>
      <c r="P39" s="260"/>
      <c r="Q39" s="258"/>
      <c r="R39" s="84">
        <f t="shared" si="6"/>
        <v>0</v>
      </c>
      <c r="S39" s="85">
        <f t="shared" si="7"/>
        <v>0</v>
      </c>
      <c r="T39" s="201">
        <f t="shared" si="8"/>
        <v>0</v>
      </c>
      <c r="U39" s="205">
        <f t="shared" si="9"/>
        <v>0</v>
      </c>
      <c r="V39" s="223">
        <f t="shared" si="10"/>
        <v>-1</v>
      </c>
      <c r="W39" s="224">
        <f t="shared" si="11"/>
        <v>0</v>
      </c>
      <c r="X39" s="225">
        <f t="shared" si="12"/>
        <v>0</v>
      </c>
      <c r="Y39" s="515">
        <v>29</v>
      </c>
      <c r="Z39" s="61">
        <f t="shared" si="13"/>
        <v>-1</v>
      </c>
      <c r="AA39" s="142">
        <f t="shared" si="14"/>
        <v>0</v>
      </c>
      <c r="AB39" s="142">
        <f t="shared" si="15"/>
        <v>0</v>
      </c>
      <c r="AC39" s="159"/>
      <c r="AD39" s="159"/>
      <c r="AE39" s="142">
        <f t="shared" si="16"/>
        <v>0</v>
      </c>
      <c r="AF39" s="142">
        <f t="shared" si="17"/>
        <v>0</v>
      </c>
      <c r="AG39" s="159"/>
      <c r="AH39" s="159"/>
      <c r="AI39" s="142">
        <f t="shared" si="18"/>
        <v>0</v>
      </c>
      <c r="AJ39" s="142">
        <f t="shared" si="19"/>
        <v>0</v>
      </c>
      <c r="AK39" s="159"/>
      <c r="AL39" s="159"/>
      <c r="AM39" s="142">
        <f t="shared" si="20"/>
        <v>0</v>
      </c>
      <c r="AN39" s="142">
        <f t="shared" si="21"/>
        <v>0</v>
      </c>
      <c r="AO39" s="159"/>
      <c r="AP39" s="159"/>
      <c r="AQ39" s="159"/>
      <c r="AR39" s="159"/>
      <c r="AS39" s="169"/>
      <c r="AT39" s="169"/>
      <c r="AU39" s="169"/>
      <c r="AV39" s="169"/>
      <c r="AW39" s="169"/>
    </row>
    <row r="40" spans="1:49" s="42" customFormat="1" ht="34.15" customHeight="1">
      <c r="A40" s="270">
        <v>30</v>
      </c>
      <c r="B40" s="258"/>
      <c r="C40" s="309"/>
      <c r="D40" s="260"/>
      <c r="E40" s="258"/>
      <c r="F40" s="84">
        <f t="shared" si="0"/>
        <v>0</v>
      </c>
      <c r="G40" s="85">
        <f t="shared" si="1"/>
        <v>0</v>
      </c>
      <c r="H40" s="260"/>
      <c r="I40" s="258"/>
      <c r="J40" s="84">
        <f t="shared" si="2"/>
        <v>0</v>
      </c>
      <c r="K40" s="85">
        <f t="shared" si="3"/>
        <v>0</v>
      </c>
      <c r="L40" s="260"/>
      <c r="M40" s="258"/>
      <c r="N40" s="84">
        <f t="shared" si="4"/>
        <v>0</v>
      </c>
      <c r="O40" s="85">
        <f t="shared" si="5"/>
        <v>0</v>
      </c>
      <c r="P40" s="260"/>
      <c r="Q40" s="258"/>
      <c r="R40" s="84">
        <f t="shared" si="6"/>
        <v>0</v>
      </c>
      <c r="S40" s="85">
        <f t="shared" si="7"/>
        <v>0</v>
      </c>
      <c r="T40" s="201">
        <f t="shared" si="8"/>
        <v>0</v>
      </c>
      <c r="U40" s="205">
        <f t="shared" si="9"/>
        <v>0</v>
      </c>
      <c r="V40" s="223">
        <f t="shared" si="10"/>
        <v>-1</v>
      </c>
      <c r="W40" s="224">
        <f t="shared" si="11"/>
        <v>0</v>
      </c>
      <c r="X40" s="225">
        <f t="shared" si="12"/>
        <v>0</v>
      </c>
      <c r="Y40" s="515">
        <v>30</v>
      </c>
      <c r="Z40" s="61">
        <f t="shared" si="13"/>
        <v>-1</v>
      </c>
      <c r="AA40" s="142">
        <f t="shared" si="14"/>
        <v>0</v>
      </c>
      <c r="AB40" s="142">
        <f t="shared" si="15"/>
        <v>0</v>
      </c>
      <c r="AC40" s="159"/>
      <c r="AD40" s="159"/>
      <c r="AE40" s="142">
        <f t="shared" si="16"/>
        <v>0</v>
      </c>
      <c r="AF40" s="142">
        <f t="shared" si="17"/>
        <v>0</v>
      </c>
      <c r="AG40" s="159"/>
      <c r="AH40" s="159"/>
      <c r="AI40" s="142">
        <f t="shared" si="18"/>
        <v>0</v>
      </c>
      <c r="AJ40" s="142">
        <f t="shared" si="19"/>
        <v>0</v>
      </c>
      <c r="AK40" s="159"/>
      <c r="AL40" s="159"/>
      <c r="AM40" s="142">
        <f t="shared" si="20"/>
        <v>0</v>
      </c>
      <c r="AN40" s="142">
        <f t="shared" si="21"/>
        <v>0</v>
      </c>
      <c r="AO40" s="159"/>
      <c r="AP40" s="159"/>
      <c r="AQ40" s="159"/>
      <c r="AR40" s="159"/>
      <c r="AS40" s="169"/>
      <c r="AT40" s="169"/>
      <c r="AU40" s="169"/>
      <c r="AV40" s="169"/>
      <c r="AW40" s="169"/>
    </row>
    <row r="41" spans="1:49" s="42" customFormat="1" ht="34.15" customHeight="1">
      <c r="A41" s="270">
        <v>31</v>
      </c>
      <c r="B41" s="258"/>
      <c r="C41" s="309"/>
      <c r="D41" s="260"/>
      <c r="E41" s="258"/>
      <c r="F41" s="84">
        <f t="shared" si="0"/>
        <v>0</v>
      </c>
      <c r="G41" s="85">
        <f t="shared" si="1"/>
        <v>0</v>
      </c>
      <c r="H41" s="260"/>
      <c r="I41" s="258"/>
      <c r="J41" s="84">
        <f t="shared" si="2"/>
        <v>0</v>
      </c>
      <c r="K41" s="85">
        <f t="shared" si="3"/>
        <v>0</v>
      </c>
      <c r="L41" s="260"/>
      <c r="M41" s="258"/>
      <c r="N41" s="84">
        <f t="shared" si="4"/>
        <v>0</v>
      </c>
      <c r="O41" s="85">
        <f t="shared" si="5"/>
        <v>0</v>
      </c>
      <c r="P41" s="260"/>
      <c r="Q41" s="258"/>
      <c r="R41" s="84">
        <f t="shared" si="6"/>
        <v>0</v>
      </c>
      <c r="S41" s="85">
        <f t="shared" si="7"/>
        <v>0</v>
      </c>
      <c r="T41" s="201">
        <f t="shared" si="8"/>
        <v>0</v>
      </c>
      <c r="U41" s="205">
        <f t="shared" si="9"/>
        <v>0</v>
      </c>
      <c r="V41" s="223">
        <f t="shared" si="10"/>
        <v>-1</v>
      </c>
      <c r="W41" s="224">
        <f t="shared" si="11"/>
        <v>0</v>
      </c>
      <c r="X41" s="225">
        <f t="shared" si="12"/>
        <v>0</v>
      </c>
      <c r="Y41" s="515">
        <v>31</v>
      </c>
      <c r="Z41" s="61">
        <f t="shared" si="13"/>
        <v>-1</v>
      </c>
      <c r="AA41" s="142">
        <f t="shared" si="14"/>
        <v>0</v>
      </c>
      <c r="AB41" s="142">
        <f t="shared" si="15"/>
        <v>0</v>
      </c>
      <c r="AC41" s="159"/>
      <c r="AD41" s="159"/>
      <c r="AE41" s="142">
        <f t="shared" si="16"/>
        <v>0</v>
      </c>
      <c r="AF41" s="142">
        <f t="shared" si="17"/>
        <v>0</v>
      </c>
      <c r="AG41" s="159"/>
      <c r="AH41" s="159"/>
      <c r="AI41" s="142">
        <f t="shared" si="18"/>
        <v>0</v>
      </c>
      <c r="AJ41" s="142">
        <f t="shared" si="19"/>
        <v>0</v>
      </c>
      <c r="AK41" s="159"/>
      <c r="AL41" s="159"/>
      <c r="AM41" s="142">
        <f t="shared" si="20"/>
        <v>0</v>
      </c>
      <c r="AN41" s="142">
        <f t="shared" si="21"/>
        <v>0</v>
      </c>
      <c r="AO41" s="159"/>
      <c r="AP41" s="159"/>
      <c r="AQ41" s="159"/>
      <c r="AR41" s="159"/>
      <c r="AS41" s="169"/>
      <c r="AT41" s="169"/>
      <c r="AU41" s="169"/>
      <c r="AV41" s="169"/>
      <c r="AW41" s="169"/>
    </row>
    <row r="42" spans="1:49" s="42" customFormat="1" ht="34.15" customHeight="1" thickBot="1">
      <c r="A42" s="272">
        <v>32</v>
      </c>
      <c r="B42" s="259"/>
      <c r="C42" s="312"/>
      <c r="D42" s="264"/>
      <c r="E42" s="259"/>
      <c r="F42" s="86">
        <f t="shared" si="0"/>
        <v>0</v>
      </c>
      <c r="G42" s="87">
        <f t="shared" si="1"/>
        <v>0</v>
      </c>
      <c r="H42" s="264"/>
      <c r="I42" s="259"/>
      <c r="J42" s="86">
        <f t="shared" si="2"/>
        <v>0</v>
      </c>
      <c r="K42" s="87">
        <f t="shared" si="3"/>
        <v>0</v>
      </c>
      <c r="L42" s="264"/>
      <c r="M42" s="259"/>
      <c r="N42" s="86">
        <f t="shared" si="4"/>
        <v>0</v>
      </c>
      <c r="O42" s="87">
        <f t="shared" si="5"/>
        <v>0</v>
      </c>
      <c r="P42" s="264"/>
      <c r="Q42" s="259"/>
      <c r="R42" s="86">
        <f t="shared" si="6"/>
        <v>0</v>
      </c>
      <c r="S42" s="87">
        <f t="shared" si="7"/>
        <v>0</v>
      </c>
      <c r="T42" s="202">
        <f t="shared" si="8"/>
        <v>0</v>
      </c>
      <c r="U42" s="207">
        <f t="shared" si="9"/>
        <v>0</v>
      </c>
      <c r="V42" s="227">
        <f t="shared" si="10"/>
        <v>-1</v>
      </c>
      <c r="W42" s="228">
        <f t="shared" si="11"/>
        <v>0</v>
      </c>
      <c r="X42" s="307">
        <f t="shared" si="12"/>
        <v>0</v>
      </c>
      <c r="Y42" s="516">
        <v>32</v>
      </c>
      <c r="Z42" s="61">
        <f t="shared" si="13"/>
        <v>-1</v>
      </c>
      <c r="AA42" s="142">
        <f t="shared" si="14"/>
        <v>0</v>
      </c>
      <c r="AB42" s="142">
        <f t="shared" si="15"/>
        <v>0</v>
      </c>
      <c r="AC42" s="159"/>
      <c r="AD42" s="159"/>
      <c r="AE42" s="142">
        <f t="shared" si="16"/>
        <v>0</v>
      </c>
      <c r="AF42" s="142">
        <f t="shared" si="17"/>
        <v>0</v>
      </c>
      <c r="AG42" s="159"/>
      <c r="AH42" s="159"/>
      <c r="AI42" s="142">
        <f t="shared" si="18"/>
        <v>0</v>
      </c>
      <c r="AJ42" s="142">
        <f t="shared" si="19"/>
        <v>0</v>
      </c>
      <c r="AK42" s="159"/>
      <c r="AL42" s="159"/>
      <c r="AM42" s="142">
        <f t="shared" si="20"/>
        <v>0</v>
      </c>
      <c r="AN42" s="142">
        <f t="shared" si="21"/>
        <v>0</v>
      </c>
      <c r="AO42" s="159"/>
      <c r="AP42" s="159"/>
      <c r="AQ42" s="159"/>
      <c r="AR42" s="159"/>
      <c r="AS42" s="169"/>
      <c r="AT42" s="169"/>
      <c r="AU42" s="169"/>
      <c r="AV42" s="169"/>
      <c r="AW42" s="169"/>
    </row>
    <row r="43" spans="1:49" s="42" customFormat="1" ht="34.15" customHeight="1">
      <c r="A43" s="268">
        <v>33</v>
      </c>
      <c r="B43" s="261"/>
      <c r="C43" s="308"/>
      <c r="D43" s="260"/>
      <c r="E43" s="258"/>
      <c r="F43" s="90">
        <f t="shared" ref="F43:F74" si="22">IF((D43+E43)&lt;1,0,IF(D43&gt;E43,3,IF(D43=E43,1,0)))</f>
        <v>0</v>
      </c>
      <c r="G43" s="91">
        <f t="shared" ref="G43:G74" si="23">IF(D43&gt;(E43+7),7,IF((D43+7)&lt;E43,-7,D43-E43))</f>
        <v>0</v>
      </c>
      <c r="H43" s="260"/>
      <c r="I43" s="258"/>
      <c r="J43" s="90">
        <f t="shared" ref="J43:J74" si="24">IF((H43+I43)&lt;1,0,IF(H43&gt;I43,3,IF(H43=I43,1,0)))</f>
        <v>0</v>
      </c>
      <c r="K43" s="91">
        <f t="shared" ref="K43:K74" si="25">IF(H43&gt;(I43+7),7,IF((H43+7)&lt;I43,-7,H43-I43))</f>
        <v>0</v>
      </c>
      <c r="L43" s="260"/>
      <c r="M43" s="258"/>
      <c r="N43" s="90">
        <f t="shared" ref="N43:N74" si="26">IF((L43+M43)&lt;1,0,IF(L43&gt;M43,3,IF(L43=M43,1,0)))</f>
        <v>0</v>
      </c>
      <c r="O43" s="91">
        <f t="shared" ref="O43:O74" si="27">IF(L43&gt;(M43+7),7,IF((L43+7)&lt;M43,-7,L43-M43))</f>
        <v>0</v>
      </c>
      <c r="P43" s="260"/>
      <c r="Q43" s="258"/>
      <c r="R43" s="90">
        <f t="shared" ref="R43:R74" si="28">IF((P43+Q43)&lt;1,0,IF(P43&gt;Q43,3,IF(P43=Q43,1,0)))</f>
        <v>0</v>
      </c>
      <c r="S43" s="91">
        <f t="shared" ref="S43:S74" si="29">IF(P43&gt;(Q43+7),7,IF((P43+7)&lt;Q43,-7,P43-Q43))</f>
        <v>0</v>
      </c>
      <c r="T43" s="200">
        <f t="shared" ref="T43:T74" si="30">+D43+H43+L43+P43</f>
        <v>0</v>
      </c>
      <c r="U43" s="206">
        <f t="shared" ref="U43:U74" si="31">+E43+I43+M43+Q43</f>
        <v>0</v>
      </c>
      <c r="V43" s="221">
        <f t="shared" ref="V43:V74" si="32">+F43+J43+N43+R43+Z43</f>
        <v>-1</v>
      </c>
      <c r="W43" s="229">
        <f t="shared" ref="W43:W74" si="33">G43+K43+O43+S43</f>
        <v>0</v>
      </c>
      <c r="X43" s="222">
        <f t="shared" ref="X43:X74" si="34">IF((T43+U43)&lt;1,0,+T43/(T43+U43))</f>
        <v>0</v>
      </c>
      <c r="Y43" s="517">
        <v>33</v>
      </c>
      <c r="Z43" s="61">
        <f t="shared" si="13"/>
        <v>-1</v>
      </c>
      <c r="AA43" s="142">
        <f t="shared" si="14"/>
        <v>0</v>
      </c>
      <c r="AB43" s="142">
        <f t="shared" si="15"/>
        <v>0</v>
      </c>
      <c r="AC43" s="159"/>
      <c r="AD43" s="159"/>
      <c r="AE43" s="142">
        <f t="shared" si="16"/>
        <v>0</v>
      </c>
      <c r="AF43" s="142">
        <f t="shared" si="17"/>
        <v>0</v>
      </c>
      <c r="AG43" s="159"/>
      <c r="AH43" s="159"/>
      <c r="AI43" s="142">
        <f t="shared" si="18"/>
        <v>0</v>
      </c>
      <c r="AJ43" s="142">
        <f t="shared" si="19"/>
        <v>0</v>
      </c>
      <c r="AK43" s="159"/>
      <c r="AL43" s="159"/>
      <c r="AM43" s="142">
        <f t="shared" si="20"/>
        <v>0</v>
      </c>
      <c r="AN43" s="142">
        <f t="shared" si="21"/>
        <v>0</v>
      </c>
      <c r="AO43" s="159"/>
      <c r="AP43" s="159"/>
      <c r="AQ43" s="159"/>
      <c r="AR43" s="159"/>
      <c r="AS43" s="169"/>
      <c r="AT43" s="169"/>
      <c r="AU43" s="169"/>
      <c r="AV43" s="169"/>
      <c r="AW43" s="169"/>
    </row>
    <row r="44" spans="1:49" s="42" customFormat="1" ht="34.15" customHeight="1">
      <c r="A44" s="270">
        <v>34</v>
      </c>
      <c r="B44" s="258"/>
      <c r="C44" s="311"/>
      <c r="D44" s="276"/>
      <c r="E44" s="275"/>
      <c r="F44" s="84">
        <f t="shared" si="22"/>
        <v>0</v>
      </c>
      <c r="G44" s="85">
        <f t="shared" si="23"/>
        <v>0</v>
      </c>
      <c r="H44" s="292"/>
      <c r="I44" s="290"/>
      <c r="J44" s="84">
        <f t="shared" si="24"/>
        <v>0</v>
      </c>
      <c r="K44" s="85">
        <f t="shared" si="25"/>
        <v>0</v>
      </c>
      <c r="L44" s="292"/>
      <c r="M44" s="290"/>
      <c r="N44" s="84">
        <f t="shared" si="26"/>
        <v>0</v>
      </c>
      <c r="O44" s="85">
        <f t="shared" si="27"/>
        <v>0</v>
      </c>
      <c r="P44" s="292"/>
      <c r="Q44" s="290"/>
      <c r="R44" s="84">
        <f t="shared" si="28"/>
        <v>0</v>
      </c>
      <c r="S44" s="85">
        <f t="shared" si="29"/>
        <v>0</v>
      </c>
      <c r="T44" s="201">
        <f t="shared" si="30"/>
        <v>0</v>
      </c>
      <c r="U44" s="205">
        <f t="shared" si="31"/>
        <v>0</v>
      </c>
      <c r="V44" s="223">
        <f t="shared" si="32"/>
        <v>-1</v>
      </c>
      <c r="W44" s="224">
        <f t="shared" si="33"/>
        <v>0</v>
      </c>
      <c r="X44" s="225">
        <f t="shared" si="34"/>
        <v>0</v>
      </c>
      <c r="Y44" s="515">
        <v>34</v>
      </c>
      <c r="Z44" s="61">
        <f t="shared" si="13"/>
        <v>-1</v>
      </c>
      <c r="AA44" s="142">
        <f t="shared" si="14"/>
        <v>0</v>
      </c>
      <c r="AB44" s="142">
        <f t="shared" si="15"/>
        <v>0</v>
      </c>
      <c r="AC44" s="159"/>
      <c r="AD44" s="159"/>
      <c r="AE44" s="142">
        <f t="shared" si="16"/>
        <v>0</v>
      </c>
      <c r="AF44" s="142">
        <f t="shared" si="17"/>
        <v>0</v>
      </c>
      <c r="AG44" s="159"/>
      <c r="AH44" s="159"/>
      <c r="AI44" s="142">
        <f t="shared" si="18"/>
        <v>0</v>
      </c>
      <c r="AJ44" s="142">
        <f t="shared" si="19"/>
        <v>0</v>
      </c>
      <c r="AK44" s="159"/>
      <c r="AL44" s="159"/>
      <c r="AM44" s="142">
        <f t="shared" si="20"/>
        <v>0</v>
      </c>
      <c r="AN44" s="142">
        <f t="shared" si="21"/>
        <v>0</v>
      </c>
      <c r="AO44" s="159"/>
      <c r="AP44" s="159"/>
      <c r="AQ44" s="159"/>
      <c r="AR44" s="159"/>
      <c r="AS44" s="169"/>
      <c r="AT44" s="169"/>
      <c r="AU44" s="169"/>
      <c r="AV44" s="169"/>
      <c r="AW44" s="169"/>
    </row>
    <row r="45" spans="1:49" s="42" customFormat="1" ht="34.15" customHeight="1">
      <c r="A45" s="270">
        <v>35</v>
      </c>
      <c r="B45" s="258"/>
      <c r="C45" s="309"/>
      <c r="D45" s="260"/>
      <c r="E45" s="258"/>
      <c r="F45" s="84">
        <f t="shared" si="22"/>
        <v>0</v>
      </c>
      <c r="G45" s="85">
        <f t="shared" si="23"/>
        <v>0</v>
      </c>
      <c r="H45" s="260"/>
      <c r="I45" s="258"/>
      <c r="J45" s="84">
        <f t="shared" si="24"/>
        <v>0</v>
      </c>
      <c r="K45" s="85">
        <f t="shared" si="25"/>
        <v>0</v>
      </c>
      <c r="L45" s="260"/>
      <c r="M45" s="258"/>
      <c r="N45" s="84">
        <f t="shared" si="26"/>
        <v>0</v>
      </c>
      <c r="O45" s="85">
        <f t="shared" si="27"/>
        <v>0</v>
      </c>
      <c r="P45" s="260"/>
      <c r="Q45" s="258"/>
      <c r="R45" s="84">
        <f t="shared" si="28"/>
        <v>0</v>
      </c>
      <c r="S45" s="85">
        <f t="shared" si="29"/>
        <v>0</v>
      </c>
      <c r="T45" s="201">
        <f t="shared" si="30"/>
        <v>0</v>
      </c>
      <c r="U45" s="205">
        <f t="shared" si="31"/>
        <v>0</v>
      </c>
      <c r="V45" s="223">
        <f t="shared" si="32"/>
        <v>-1</v>
      </c>
      <c r="W45" s="224">
        <f t="shared" si="33"/>
        <v>0</v>
      </c>
      <c r="X45" s="225">
        <f t="shared" si="34"/>
        <v>0</v>
      </c>
      <c r="Y45" s="515">
        <v>35</v>
      </c>
      <c r="Z45" s="61">
        <f t="shared" si="13"/>
        <v>-1</v>
      </c>
      <c r="AA45" s="142">
        <f t="shared" si="14"/>
        <v>0</v>
      </c>
      <c r="AB45" s="142">
        <f t="shared" si="15"/>
        <v>0</v>
      </c>
      <c r="AC45" s="159"/>
      <c r="AD45" s="159"/>
      <c r="AE45" s="142">
        <f t="shared" si="16"/>
        <v>0</v>
      </c>
      <c r="AF45" s="142">
        <f t="shared" si="17"/>
        <v>0</v>
      </c>
      <c r="AG45" s="159"/>
      <c r="AH45" s="159"/>
      <c r="AI45" s="142">
        <f t="shared" si="18"/>
        <v>0</v>
      </c>
      <c r="AJ45" s="142">
        <f t="shared" si="19"/>
        <v>0</v>
      </c>
      <c r="AK45" s="159"/>
      <c r="AL45" s="159"/>
      <c r="AM45" s="142">
        <f t="shared" si="20"/>
        <v>0</v>
      </c>
      <c r="AN45" s="142">
        <f t="shared" si="21"/>
        <v>0</v>
      </c>
      <c r="AO45" s="159"/>
      <c r="AP45" s="159"/>
      <c r="AQ45" s="159"/>
      <c r="AR45" s="159"/>
      <c r="AS45" s="169"/>
      <c r="AT45" s="169"/>
      <c r="AU45" s="169"/>
      <c r="AV45" s="169"/>
      <c r="AW45" s="169"/>
    </row>
    <row r="46" spans="1:49" s="42" customFormat="1" ht="34.15" customHeight="1">
      <c r="A46" s="270">
        <v>36</v>
      </c>
      <c r="B46" s="258"/>
      <c r="C46" s="309"/>
      <c r="D46" s="260"/>
      <c r="E46" s="258"/>
      <c r="F46" s="84">
        <f t="shared" si="22"/>
        <v>0</v>
      </c>
      <c r="G46" s="85">
        <f t="shared" si="23"/>
        <v>0</v>
      </c>
      <c r="H46" s="260"/>
      <c r="I46" s="258"/>
      <c r="J46" s="84">
        <f t="shared" si="24"/>
        <v>0</v>
      </c>
      <c r="K46" s="85">
        <f t="shared" si="25"/>
        <v>0</v>
      </c>
      <c r="L46" s="260"/>
      <c r="M46" s="258"/>
      <c r="N46" s="84">
        <f t="shared" si="26"/>
        <v>0</v>
      </c>
      <c r="O46" s="85">
        <f t="shared" si="27"/>
        <v>0</v>
      </c>
      <c r="P46" s="292"/>
      <c r="Q46" s="290"/>
      <c r="R46" s="84">
        <f t="shared" si="28"/>
        <v>0</v>
      </c>
      <c r="S46" s="85">
        <f t="shared" si="29"/>
        <v>0</v>
      </c>
      <c r="T46" s="201">
        <f t="shared" si="30"/>
        <v>0</v>
      </c>
      <c r="U46" s="205">
        <f t="shared" si="31"/>
        <v>0</v>
      </c>
      <c r="V46" s="223">
        <f t="shared" si="32"/>
        <v>-1</v>
      </c>
      <c r="W46" s="224">
        <f t="shared" si="33"/>
        <v>0</v>
      </c>
      <c r="X46" s="225">
        <f t="shared" si="34"/>
        <v>0</v>
      </c>
      <c r="Y46" s="515">
        <v>36</v>
      </c>
      <c r="Z46" s="61">
        <f t="shared" si="13"/>
        <v>-1</v>
      </c>
      <c r="AA46" s="142">
        <f t="shared" si="14"/>
        <v>0</v>
      </c>
      <c r="AB46" s="142">
        <f t="shared" si="15"/>
        <v>0</v>
      </c>
      <c r="AC46" s="159"/>
      <c r="AD46" s="159"/>
      <c r="AE46" s="142">
        <f t="shared" si="16"/>
        <v>0</v>
      </c>
      <c r="AF46" s="142">
        <f t="shared" si="17"/>
        <v>0</v>
      </c>
      <c r="AG46" s="159"/>
      <c r="AH46" s="159"/>
      <c r="AI46" s="142">
        <f t="shared" si="18"/>
        <v>0</v>
      </c>
      <c r="AJ46" s="142">
        <f t="shared" si="19"/>
        <v>0</v>
      </c>
      <c r="AK46" s="159"/>
      <c r="AL46" s="159"/>
      <c r="AM46" s="142">
        <f t="shared" si="20"/>
        <v>0</v>
      </c>
      <c r="AN46" s="142">
        <f t="shared" si="21"/>
        <v>0</v>
      </c>
      <c r="AO46" s="159"/>
      <c r="AP46" s="159"/>
      <c r="AQ46" s="159"/>
      <c r="AR46" s="159"/>
      <c r="AS46" s="169"/>
      <c r="AT46" s="169"/>
      <c r="AU46" s="169"/>
      <c r="AV46" s="169"/>
      <c r="AW46" s="169"/>
    </row>
    <row r="47" spans="1:49" s="42" customFormat="1" ht="34.15" customHeight="1">
      <c r="A47" s="270">
        <v>37</v>
      </c>
      <c r="B47" s="271"/>
      <c r="C47" s="309"/>
      <c r="D47" s="260"/>
      <c r="E47" s="258"/>
      <c r="F47" s="84">
        <f t="shared" si="22"/>
        <v>0</v>
      </c>
      <c r="G47" s="85">
        <f t="shared" si="23"/>
        <v>0</v>
      </c>
      <c r="H47" s="260"/>
      <c r="I47" s="258"/>
      <c r="J47" s="84">
        <f t="shared" si="24"/>
        <v>0</v>
      </c>
      <c r="K47" s="85">
        <f t="shared" si="25"/>
        <v>0</v>
      </c>
      <c r="L47" s="260"/>
      <c r="M47" s="258"/>
      <c r="N47" s="84">
        <f t="shared" si="26"/>
        <v>0</v>
      </c>
      <c r="O47" s="85">
        <f t="shared" si="27"/>
        <v>0</v>
      </c>
      <c r="P47" s="260"/>
      <c r="Q47" s="258"/>
      <c r="R47" s="84">
        <f t="shared" si="28"/>
        <v>0</v>
      </c>
      <c r="S47" s="85">
        <f t="shared" si="29"/>
        <v>0</v>
      </c>
      <c r="T47" s="201">
        <f t="shared" si="30"/>
        <v>0</v>
      </c>
      <c r="U47" s="205">
        <f t="shared" si="31"/>
        <v>0</v>
      </c>
      <c r="V47" s="223">
        <f t="shared" si="32"/>
        <v>-1</v>
      </c>
      <c r="W47" s="224">
        <f t="shared" si="33"/>
        <v>0</v>
      </c>
      <c r="X47" s="225">
        <f t="shared" si="34"/>
        <v>0</v>
      </c>
      <c r="Y47" s="515">
        <v>37</v>
      </c>
      <c r="Z47" s="61">
        <f t="shared" si="13"/>
        <v>-1</v>
      </c>
      <c r="AA47" s="142">
        <f t="shared" si="14"/>
        <v>0</v>
      </c>
      <c r="AB47" s="142">
        <f t="shared" si="15"/>
        <v>0</v>
      </c>
      <c r="AC47" s="159"/>
      <c r="AD47" s="159"/>
      <c r="AE47" s="142">
        <f t="shared" si="16"/>
        <v>0</v>
      </c>
      <c r="AF47" s="142">
        <f t="shared" si="17"/>
        <v>0</v>
      </c>
      <c r="AG47" s="159"/>
      <c r="AH47" s="159"/>
      <c r="AI47" s="142">
        <f t="shared" si="18"/>
        <v>0</v>
      </c>
      <c r="AJ47" s="142">
        <f t="shared" si="19"/>
        <v>0</v>
      </c>
      <c r="AK47" s="159"/>
      <c r="AL47" s="159"/>
      <c r="AM47" s="142">
        <f t="shared" si="20"/>
        <v>0</v>
      </c>
      <c r="AN47" s="142">
        <f t="shared" si="21"/>
        <v>0</v>
      </c>
      <c r="AO47" s="159"/>
      <c r="AP47" s="159"/>
      <c r="AQ47" s="159"/>
      <c r="AR47" s="159"/>
      <c r="AS47" s="169"/>
      <c r="AT47" s="169"/>
      <c r="AU47" s="169"/>
      <c r="AV47" s="169"/>
      <c r="AW47" s="169"/>
    </row>
    <row r="48" spans="1:49" s="42" customFormat="1" ht="34.15" customHeight="1">
      <c r="A48" s="270">
        <v>38</v>
      </c>
      <c r="B48" s="258"/>
      <c r="C48" s="309"/>
      <c r="D48" s="260"/>
      <c r="E48" s="262"/>
      <c r="F48" s="84">
        <f t="shared" si="22"/>
        <v>0</v>
      </c>
      <c r="G48" s="85">
        <f t="shared" si="23"/>
        <v>0</v>
      </c>
      <c r="H48" s="260"/>
      <c r="I48" s="262"/>
      <c r="J48" s="84">
        <f t="shared" si="24"/>
        <v>0</v>
      </c>
      <c r="K48" s="85">
        <f t="shared" si="25"/>
        <v>0</v>
      </c>
      <c r="L48" s="260"/>
      <c r="M48" s="262"/>
      <c r="N48" s="84">
        <f t="shared" si="26"/>
        <v>0</v>
      </c>
      <c r="O48" s="85">
        <f t="shared" si="27"/>
        <v>0</v>
      </c>
      <c r="P48" s="260"/>
      <c r="Q48" s="262"/>
      <c r="R48" s="84">
        <f t="shared" si="28"/>
        <v>0</v>
      </c>
      <c r="S48" s="85">
        <f t="shared" si="29"/>
        <v>0</v>
      </c>
      <c r="T48" s="201">
        <f t="shared" si="30"/>
        <v>0</v>
      </c>
      <c r="U48" s="205">
        <f t="shared" si="31"/>
        <v>0</v>
      </c>
      <c r="V48" s="223">
        <f t="shared" si="32"/>
        <v>-1</v>
      </c>
      <c r="W48" s="224">
        <f t="shared" si="33"/>
        <v>0</v>
      </c>
      <c r="X48" s="226">
        <f t="shared" si="34"/>
        <v>0</v>
      </c>
      <c r="Y48" s="515">
        <v>38</v>
      </c>
      <c r="Z48" s="61">
        <f t="shared" si="13"/>
        <v>-1</v>
      </c>
      <c r="AA48" s="142">
        <f t="shared" si="14"/>
        <v>0</v>
      </c>
      <c r="AB48" s="142">
        <f t="shared" si="15"/>
        <v>0</v>
      </c>
      <c r="AC48" s="159"/>
      <c r="AD48" s="159"/>
      <c r="AE48" s="142">
        <f t="shared" si="16"/>
        <v>0</v>
      </c>
      <c r="AF48" s="142">
        <f t="shared" si="17"/>
        <v>0</v>
      </c>
      <c r="AG48" s="159"/>
      <c r="AH48" s="159"/>
      <c r="AI48" s="142">
        <f t="shared" si="18"/>
        <v>0</v>
      </c>
      <c r="AJ48" s="142">
        <f t="shared" si="19"/>
        <v>0</v>
      </c>
      <c r="AK48" s="159"/>
      <c r="AL48" s="159"/>
      <c r="AM48" s="142">
        <f t="shared" si="20"/>
        <v>0</v>
      </c>
      <c r="AN48" s="142">
        <f t="shared" si="21"/>
        <v>0</v>
      </c>
      <c r="AO48" s="159"/>
      <c r="AP48" s="159"/>
      <c r="AQ48" s="159"/>
      <c r="AR48" s="159"/>
      <c r="AS48" s="169"/>
      <c r="AT48" s="169"/>
      <c r="AU48" s="169"/>
      <c r="AV48" s="169"/>
      <c r="AW48" s="169"/>
    </row>
    <row r="49" spans="1:49" s="42" customFormat="1" ht="34.15" customHeight="1">
      <c r="A49" s="270">
        <v>39</v>
      </c>
      <c r="B49" s="258"/>
      <c r="C49" s="326"/>
      <c r="D49" s="276"/>
      <c r="E49" s="275"/>
      <c r="F49" s="84">
        <f t="shared" si="22"/>
        <v>0</v>
      </c>
      <c r="G49" s="85">
        <f t="shared" si="23"/>
        <v>0</v>
      </c>
      <c r="H49" s="292"/>
      <c r="I49" s="290"/>
      <c r="J49" s="84">
        <f t="shared" si="24"/>
        <v>0</v>
      </c>
      <c r="K49" s="85">
        <f t="shared" si="25"/>
        <v>0</v>
      </c>
      <c r="L49" s="292"/>
      <c r="M49" s="290"/>
      <c r="N49" s="84">
        <f t="shared" si="26"/>
        <v>0</v>
      </c>
      <c r="O49" s="85">
        <f t="shared" si="27"/>
        <v>0</v>
      </c>
      <c r="P49" s="292"/>
      <c r="Q49" s="290"/>
      <c r="R49" s="84">
        <f t="shared" si="28"/>
        <v>0</v>
      </c>
      <c r="S49" s="85">
        <f t="shared" si="29"/>
        <v>0</v>
      </c>
      <c r="T49" s="201">
        <f t="shared" si="30"/>
        <v>0</v>
      </c>
      <c r="U49" s="205">
        <f t="shared" si="31"/>
        <v>0</v>
      </c>
      <c r="V49" s="223">
        <f t="shared" si="32"/>
        <v>-1</v>
      </c>
      <c r="W49" s="224">
        <f t="shared" si="33"/>
        <v>0</v>
      </c>
      <c r="X49" s="225">
        <f t="shared" si="34"/>
        <v>0</v>
      </c>
      <c r="Y49" s="515">
        <v>39</v>
      </c>
      <c r="Z49" s="61">
        <f t="shared" si="13"/>
        <v>-1</v>
      </c>
      <c r="AA49" s="142">
        <f t="shared" si="14"/>
        <v>0</v>
      </c>
      <c r="AB49" s="142">
        <f t="shared" si="15"/>
        <v>0</v>
      </c>
      <c r="AC49" s="159"/>
      <c r="AD49" s="159"/>
      <c r="AE49" s="142">
        <f t="shared" si="16"/>
        <v>0</v>
      </c>
      <c r="AF49" s="142">
        <f t="shared" si="17"/>
        <v>0</v>
      </c>
      <c r="AG49" s="159"/>
      <c r="AH49" s="159"/>
      <c r="AI49" s="142">
        <f t="shared" si="18"/>
        <v>0</v>
      </c>
      <c r="AJ49" s="142">
        <f t="shared" si="19"/>
        <v>0</v>
      </c>
      <c r="AK49" s="159"/>
      <c r="AL49" s="159"/>
      <c r="AM49" s="142">
        <f t="shared" si="20"/>
        <v>0</v>
      </c>
      <c r="AN49" s="142">
        <f t="shared" si="21"/>
        <v>0</v>
      </c>
      <c r="AO49" s="159"/>
      <c r="AP49" s="159"/>
      <c r="AQ49" s="159"/>
      <c r="AR49" s="159"/>
      <c r="AS49" s="169"/>
      <c r="AT49" s="169"/>
      <c r="AU49" s="169"/>
      <c r="AV49" s="169"/>
      <c r="AW49" s="169"/>
    </row>
    <row r="50" spans="1:49" s="42" customFormat="1" ht="34.15" customHeight="1" thickBot="1">
      <c r="A50" s="272">
        <v>40</v>
      </c>
      <c r="B50" s="259"/>
      <c r="C50" s="312"/>
      <c r="D50" s="260"/>
      <c r="E50" s="258"/>
      <c r="F50" s="193">
        <f t="shared" si="22"/>
        <v>0</v>
      </c>
      <c r="G50" s="194">
        <f t="shared" si="23"/>
        <v>0</v>
      </c>
      <c r="H50" s="260"/>
      <c r="I50" s="258"/>
      <c r="J50" s="193">
        <f t="shared" si="24"/>
        <v>0</v>
      </c>
      <c r="K50" s="194">
        <f t="shared" si="25"/>
        <v>0</v>
      </c>
      <c r="L50" s="260"/>
      <c r="M50" s="258"/>
      <c r="N50" s="193">
        <f t="shared" si="26"/>
        <v>0</v>
      </c>
      <c r="O50" s="194">
        <f t="shared" si="27"/>
        <v>0</v>
      </c>
      <c r="P50" s="260"/>
      <c r="Q50" s="258"/>
      <c r="R50" s="193">
        <f t="shared" si="28"/>
        <v>0</v>
      </c>
      <c r="S50" s="194">
        <f t="shared" si="29"/>
        <v>0</v>
      </c>
      <c r="T50" s="202">
        <f t="shared" si="30"/>
        <v>0</v>
      </c>
      <c r="U50" s="207">
        <f t="shared" si="31"/>
        <v>0</v>
      </c>
      <c r="V50" s="227">
        <f t="shared" si="32"/>
        <v>-1</v>
      </c>
      <c r="W50" s="228">
        <f t="shared" si="33"/>
        <v>0</v>
      </c>
      <c r="X50" s="230">
        <f t="shared" si="34"/>
        <v>0</v>
      </c>
      <c r="Y50" s="516">
        <v>40</v>
      </c>
      <c r="Z50" s="61">
        <f t="shared" si="13"/>
        <v>-1</v>
      </c>
      <c r="AA50" s="142">
        <f t="shared" si="14"/>
        <v>0</v>
      </c>
      <c r="AB50" s="142">
        <f t="shared" si="15"/>
        <v>0</v>
      </c>
      <c r="AC50" s="159"/>
      <c r="AD50" s="159"/>
      <c r="AE50" s="142">
        <f t="shared" si="16"/>
        <v>0</v>
      </c>
      <c r="AF50" s="142">
        <f t="shared" si="17"/>
        <v>0</v>
      </c>
      <c r="AG50" s="159"/>
      <c r="AH50" s="159"/>
      <c r="AI50" s="142">
        <f t="shared" si="18"/>
        <v>0</v>
      </c>
      <c r="AJ50" s="142">
        <f t="shared" si="19"/>
        <v>0</v>
      </c>
      <c r="AK50" s="159"/>
      <c r="AL50" s="159"/>
      <c r="AM50" s="142">
        <f t="shared" si="20"/>
        <v>0</v>
      </c>
      <c r="AN50" s="142">
        <f t="shared" si="21"/>
        <v>0</v>
      </c>
      <c r="AO50" s="159"/>
      <c r="AP50" s="159"/>
      <c r="AQ50" s="159"/>
      <c r="AR50" s="159"/>
      <c r="AS50" s="169"/>
      <c r="AT50" s="169"/>
      <c r="AU50" s="169"/>
      <c r="AV50" s="169"/>
      <c r="AW50" s="169"/>
    </row>
    <row r="51" spans="1:49" s="42" customFormat="1" ht="34.15" customHeight="1">
      <c r="A51" s="268">
        <v>41</v>
      </c>
      <c r="B51" s="261"/>
      <c r="C51" s="308"/>
      <c r="D51" s="263"/>
      <c r="E51" s="261"/>
      <c r="F51" s="176">
        <f t="shared" si="22"/>
        <v>0</v>
      </c>
      <c r="G51" s="177">
        <f t="shared" si="23"/>
        <v>0</v>
      </c>
      <c r="H51" s="263"/>
      <c r="I51" s="261"/>
      <c r="J51" s="176">
        <f t="shared" si="24"/>
        <v>0</v>
      </c>
      <c r="K51" s="177">
        <f t="shared" si="25"/>
        <v>0</v>
      </c>
      <c r="L51" s="263"/>
      <c r="M51" s="261"/>
      <c r="N51" s="176">
        <f t="shared" si="26"/>
        <v>0</v>
      </c>
      <c r="O51" s="177">
        <f t="shared" si="27"/>
        <v>0</v>
      </c>
      <c r="P51" s="263"/>
      <c r="Q51" s="261"/>
      <c r="R51" s="176">
        <f t="shared" si="28"/>
        <v>0</v>
      </c>
      <c r="S51" s="177">
        <f t="shared" si="29"/>
        <v>0</v>
      </c>
      <c r="T51" s="200">
        <f t="shared" si="30"/>
        <v>0</v>
      </c>
      <c r="U51" s="206">
        <f t="shared" si="31"/>
        <v>0</v>
      </c>
      <c r="V51" s="221">
        <f t="shared" si="32"/>
        <v>-1</v>
      </c>
      <c r="W51" s="229">
        <f t="shared" si="33"/>
        <v>0</v>
      </c>
      <c r="X51" s="222">
        <f t="shared" si="34"/>
        <v>0</v>
      </c>
      <c r="Y51" s="517">
        <v>41</v>
      </c>
      <c r="Z51" s="61">
        <f t="shared" si="13"/>
        <v>-1</v>
      </c>
      <c r="AA51" s="142">
        <f t="shared" si="14"/>
        <v>0</v>
      </c>
      <c r="AB51" s="142">
        <f t="shared" si="15"/>
        <v>0</v>
      </c>
      <c r="AC51" s="159"/>
      <c r="AD51" s="159"/>
      <c r="AE51" s="142">
        <f t="shared" si="16"/>
        <v>0</v>
      </c>
      <c r="AF51" s="142">
        <f t="shared" si="17"/>
        <v>0</v>
      </c>
      <c r="AG51" s="159"/>
      <c r="AH51" s="159"/>
      <c r="AI51" s="142">
        <f t="shared" si="18"/>
        <v>0</v>
      </c>
      <c r="AJ51" s="142">
        <f t="shared" si="19"/>
        <v>0</v>
      </c>
      <c r="AK51" s="159"/>
      <c r="AL51" s="159"/>
      <c r="AM51" s="142">
        <f t="shared" si="20"/>
        <v>0</v>
      </c>
      <c r="AN51" s="142">
        <f t="shared" si="21"/>
        <v>0</v>
      </c>
      <c r="AO51" s="159"/>
      <c r="AP51" s="159"/>
      <c r="AQ51" s="159"/>
      <c r="AR51" s="159"/>
      <c r="AS51" s="169"/>
      <c r="AT51" s="169"/>
      <c r="AU51" s="169"/>
      <c r="AV51" s="169"/>
      <c r="AW51" s="169"/>
    </row>
    <row r="52" spans="1:49" s="42" customFormat="1" ht="34.15" customHeight="1">
      <c r="A52" s="270">
        <v>42</v>
      </c>
      <c r="B52" s="258"/>
      <c r="C52" s="311"/>
      <c r="D52" s="276"/>
      <c r="E52" s="275"/>
      <c r="F52" s="84">
        <f t="shared" si="22"/>
        <v>0</v>
      </c>
      <c r="G52" s="85">
        <f t="shared" si="23"/>
        <v>0</v>
      </c>
      <c r="H52" s="292"/>
      <c r="I52" s="290"/>
      <c r="J52" s="84">
        <f t="shared" si="24"/>
        <v>0</v>
      </c>
      <c r="K52" s="85">
        <f t="shared" si="25"/>
        <v>0</v>
      </c>
      <c r="L52" s="292"/>
      <c r="M52" s="290"/>
      <c r="N52" s="84">
        <f t="shared" si="26"/>
        <v>0</v>
      </c>
      <c r="O52" s="85">
        <f t="shared" si="27"/>
        <v>0</v>
      </c>
      <c r="P52" s="292"/>
      <c r="Q52" s="290"/>
      <c r="R52" s="84">
        <f t="shared" si="28"/>
        <v>0</v>
      </c>
      <c r="S52" s="85">
        <f t="shared" si="29"/>
        <v>0</v>
      </c>
      <c r="T52" s="201">
        <f t="shared" si="30"/>
        <v>0</v>
      </c>
      <c r="U52" s="205">
        <f t="shared" si="31"/>
        <v>0</v>
      </c>
      <c r="V52" s="223">
        <f t="shared" si="32"/>
        <v>-1</v>
      </c>
      <c r="W52" s="224">
        <f t="shared" si="33"/>
        <v>0</v>
      </c>
      <c r="X52" s="225">
        <f t="shared" si="34"/>
        <v>0</v>
      </c>
      <c r="Y52" s="515">
        <v>42</v>
      </c>
      <c r="Z52" s="61">
        <f t="shared" si="13"/>
        <v>-1</v>
      </c>
      <c r="AA52" s="142">
        <f t="shared" si="14"/>
        <v>0</v>
      </c>
      <c r="AB52" s="142">
        <f t="shared" si="15"/>
        <v>0</v>
      </c>
      <c r="AC52" s="159"/>
      <c r="AD52" s="159"/>
      <c r="AE52" s="142">
        <f t="shared" si="16"/>
        <v>0</v>
      </c>
      <c r="AF52" s="142">
        <f t="shared" si="17"/>
        <v>0</v>
      </c>
      <c r="AG52" s="159"/>
      <c r="AH52" s="159"/>
      <c r="AI52" s="142">
        <f t="shared" si="18"/>
        <v>0</v>
      </c>
      <c r="AJ52" s="142">
        <f t="shared" si="19"/>
        <v>0</v>
      </c>
      <c r="AK52" s="159"/>
      <c r="AL52" s="159"/>
      <c r="AM52" s="142">
        <f t="shared" si="20"/>
        <v>0</v>
      </c>
      <c r="AN52" s="142">
        <f t="shared" si="21"/>
        <v>0</v>
      </c>
      <c r="AO52" s="159"/>
      <c r="AP52" s="159"/>
      <c r="AQ52" s="159"/>
      <c r="AR52" s="159"/>
      <c r="AS52" s="169"/>
      <c r="AT52" s="169"/>
      <c r="AU52" s="169"/>
      <c r="AV52" s="169"/>
      <c r="AW52" s="169"/>
    </row>
    <row r="53" spans="1:49" s="42" customFormat="1" ht="34.15" customHeight="1">
      <c r="A53" s="270">
        <v>43</v>
      </c>
      <c r="B53" s="258"/>
      <c r="C53" s="309"/>
      <c r="D53" s="260"/>
      <c r="E53" s="258"/>
      <c r="F53" s="84">
        <f t="shared" si="22"/>
        <v>0</v>
      </c>
      <c r="G53" s="85">
        <f t="shared" si="23"/>
        <v>0</v>
      </c>
      <c r="H53" s="260"/>
      <c r="I53" s="258"/>
      <c r="J53" s="84">
        <f t="shared" si="24"/>
        <v>0</v>
      </c>
      <c r="K53" s="85">
        <f t="shared" si="25"/>
        <v>0</v>
      </c>
      <c r="L53" s="260"/>
      <c r="M53" s="258"/>
      <c r="N53" s="84">
        <f t="shared" si="26"/>
        <v>0</v>
      </c>
      <c r="O53" s="85">
        <f t="shared" si="27"/>
        <v>0</v>
      </c>
      <c r="P53" s="260"/>
      <c r="Q53" s="258"/>
      <c r="R53" s="84">
        <f t="shared" si="28"/>
        <v>0</v>
      </c>
      <c r="S53" s="85">
        <f t="shared" si="29"/>
        <v>0</v>
      </c>
      <c r="T53" s="201">
        <f t="shared" si="30"/>
        <v>0</v>
      </c>
      <c r="U53" s="205">
        <f t="shared" si="31"/>
        <v>0</v>
      </c>
      <c r="V53" s="223">
        <f t="shared" si="32"/>
        <v>-1</v>
      </c>
      <c r="W53" s="224">
        <f t="shared" si="33"/>
        <v>0</v>
      </c>
      <c r="X53" s="226">
        <f t="shared" si="34"/>
        <v>0</v>
      </c>
      <c r="Y53" s="515">
        <v>43</v>
      </c>
      <c r="Z53" s="61">
        <f t="shared" si="13"/>
        <v>-1</v>
      </c>
      <c r="AA53" s="142">
        <f t="shared" si="14"/>
        <v>0</v>
      </c>
      <c r="AB53" s="142">
        <f t="shared" si="15"/>
        <v>0</v>
      </c>
      <c r="AC53" s="159"/>
      <c r="AD53" s="159"/>
      <c r="AE53" s="142">
        <f t="shared" si="16"/>
        <v>0</v>
      </c>
      <c r="AF53" s="142">
        <f t="shared" si="17"/>
        <v>0</v>
      </c>
      <c r="AG53" s="159"/>
      <c r="AH53" s="159"/>
      <c r="AI53" s="142">
        <f t="shared" si="18"/>
        <v>0</v>
      </c>
      <c r="AJ53" s="142">
        <f t="shared" si="19"/>
        <v>0</v>
      </c>
      <c r="AK53" s="159"/>
      <c r="AL53" s="159"/>
      <c r="AM53" s="142">
        <f t="shared" si="20"/>
        <v>0</v>
      </c>
      <c r="AN53" s="142">
        <f t="shared" si="21"/>
        <v>0</v>
      </c>
      <c r="AO53" s="159"/>
      <c r="AP53" s="159"/>
      <c r="AQ53" s="159"/>
      <c r="AR53" s="159"/>
      <c r="AS53" s="169"/>
      <c r="AT53" s="169"/>
      <c r="AU53" s="169"/>
      <c r="AV53" s="169"/>
      <c r="AW53" s="169"/>
    </row>
    <row r="54" spans="1:49" s="42" customFormat="1" ht="34.15" customHeight="1">
      <c r="A54" s="270">
        <v>44</v>
      </c>
      <c r="B54" s="258"/>
      <c r="C54" s="309"/>
      <c r="D54" s="260"/>
      <c r="E54" s="258"/>
      <c r="F54" s="84">
        <f t="shared" si="22"/>
        <v>0</v>
      </c>
      <c r="G54" s="85">
        <f t="shared" si="23"/>
        <v>0</v>
      </c>
      <c r="H54" s="260"/>
      <c r="I54" s="258"/>
      <c r="J54" s="84">
        <f t="shared" si="24"/>
        <v>0</v>
      </c>
      <c r="K54" s="85">
        <f t="shared" si="25"/>
        <v>0</v>
      </c>
      <c r="L54" s="260"/>
      <c r="M54" s="258"/>
      <c r="N54" s="84">
        <f t="shared" si="26"/>
        <v>0</v>
      </c>
      <c r="O54" s="85">
        <f t="shared" si="27"/>
        <v>0</v>
      </c>
      <c r="P54" s="324"/>
      <c r="Q54" s="325"/>
      <c r="R54" s="84">
        <f t="shared" si="28"/>
        <v>0</v>
      </c>
      <c r="S54" s="85">
        <f t="shared" si="29"/>
        <v>0</v>
      </c>
      <c r="T54" s="201">
        <f t="shared" si="30"/>
        <v>0</v>
      </c>
      <c r="U54" s="205">
        <f t="shared" si="31"/>
        <v>0</v>
      </c>
      <c r="V54" s="223">
        <f t="shared" si="32"/>
        <v>-1</v>
      </c>
      <c r="W54" s="224">
        <f t="shared" si="33"/>
        <v>0</v>
      </c>
      <c r="X54" s="225">
        <f t="shared" si="34"/>
        <v>0</v>
      </c>
      <c r="Y54" s="515">
        <v>44</v>
      </c>
      <c r="Z54" s="61">
        <f t="shared" si="13"/>
        <v>-1</v>
      </c>
      <c r="AA54" s="142">
        <f t="shared" si="14"/>
        <v>0</v>
      </c>
      <c r="AB54" s="142">
        <f t="shared" si="15"/>
        <v>0</v>
      </c>
      <c r="AC54" s="159"/>
      <c r="AD54" s="159"/>
      <c r="AE54" s="142">
        <f t="shared" si="16"/>
        <v>0</v>
      </c>
      <c r="AF54" s="142">
        <f t="shared" si="17"/>
        <v>0</v>
      </c>
      <c r="AG54" s="159"/>
      <c r="AH54" s="159"/>
      <c r="AI54" s="142">
        <f t="shared" si="18"/>
        <v>0</v>
      </c>
      <c r="AJ54" s="142">
        <f t="shared" si="19"/>
        <v>0</v>
      </c>
      <c r="AK54" s="159"/>
      <c r="AL54" s="159"/>
      <c r="AM54" s="142">
        <f t="shared" si="20"/>
        <v>0</v>
      </c>
      <c r="AN54" s="142">
        <f t="shared" si="21"/>
        <v>0</v>
      </c>
      <c r="AO54" s="159"/>
      <c r="AP54" s="159"/>
      <c r="AQ54" s="159"/>
      <c r="AR54" s="159"/>
      <c r="AS54" s="169"/>
      <c r="AT54" s="169"/>
      <c r="AU54" s="169"/>
      <c r="AV54" s="169"/>
      <c r="AW54" s="169"/>
    </row>
    <row r="55" spans="1:49" s="42" customFormat="1" ht="34.15" customHeight="1">
      <c r="A55" s="270">
        <v>45</v>
      </c>
      <c r="B55" s="258"/>
      <c r="C55" s="309"/>
      <c r="D55" s="260"/>
      <c r="E55" s="258"/>
      <c r="F55" s="84">
        <f t="shared" si="22"/>
        <v>0</v>
      </c>
      <c r="G55" s="85">
        <f t="shared" si="23"/>
        <v>0</v>
      </c>
      <c r="H55" s="260"/>
      <c r="I55" s="258"/>
      <c r="J55" s="84">
        <f t="shared" si="24"/>
        <v>0</v>
      </c>
      <c r="K55" s="85">
        <f t="shared" si="25"/>
        <v>0</v>
      </c>
      <c r="L55" s="260"/>
      <c r="M55" s="258"/>
      <c r="N55" s="84">
        <f t="shared" si="26"/>
        <v>0</v>
      </c>
      <c r="O55" s="85">
        <f t="shared" si="27"/>
        <v>0</v>
      </c>
      <c r="P55" s="260"/>
      <c r="Q55" s="258"/>
      <c r="R55" s="84">
        <f t="shared" si="28"/>
        <v>0</v>
      </c>
      <c r="S55" s="85">
        <f t="shared" si="29"/>
        <v>0</v>
      </c>
      <c r="T55" s="201">
        <f t="shared" si="30"/>
        <v>0</v>
      </c>
      <c r="U55" s="205">
        <f t="shared" si="31"/>
        <v>0</v>
      </c>
      <c r="V55" s="223">
        <f t="shared" si="32"/>
        <v>-1</v>
      </c>
      <c r="W55" s="224">
        <f t="shared" si="33"/>
        <v>0</v>
      </c>
      <c r="X55" s="225">
        <f t="shared" si="34"/>
        <v>0</v>
      </c>
      <c r="Y55" s="515">
        <v>45</v>
      </c>
      <c r="Z55" s="61">
        <f t="shared" si="13"/>
        <v>-1</v>
      </c>
      <c r="AA55" s="142">
        <f t="shared" si="14"/>
        <v>0</v>
      </c>
      <c r="AB55" s="142">
        <f t="shared" si="15"/>
        <v>0</v>
      </c>
      <c r="AC55" s="159"/>
      <c r="AD55" s="159"/>
      <c r="AE55" s="142">
        <f t="shared" si="16"/>
        <v>0</v>
      </c>
      <c r="AF55" s="142">
        <f t="shared" si="17"/>
        <v>0</v>
      </c>
      <c r="AG55" s="159"/>
      <c r="AH55" s="159"/>
      <c r="AI55" s="142">
        <f t="shared" si="18"/>
        <v>0</v>
      </c>
      <c r="AJ55" s="142">
        <f t="shared" si="19"/>
        <v>0</v>
      </c>
      <c r="AK55" s="159"/>
      <c r="AL55" s="159"/>
      <c r="AM55" s="142">
        <f t="shared" si="20"/>
        <v>0</v>
      </c>
      <c r="AN55" s="142">
        <f t="shared" si="21"/>
        <v>0</v>
      </c>
      <c r="AO55" s="159"/>
      <c r="AP55" s="159"/>
      <c r="AQ55" s="159"/>
      <c r="AR55" s="159"/>
      <c r="AS55" s="169"/>
      <c r="AT55" s="169"/>
      <c r="AU55" s="169"/>
      <c r="AV55" s="169"/>
      <c r="AW55" s="169"/>
    </row>
    <row r="56" spans="1:49" s="42" customFormat="1" ht="34.15" customHeight="1">
      <c r="A56" s="270">
        <v>46</v>
      </c>
      <c r="B56" s="258"/>
      <c r="C56" s="309"/>
      <c r="D56" s="260"/>
      <c r="E56" s="258"/>
      <c r="F56" s="84">
        <f t="shared" si="22"/>
        <v>0</v>
      </c>
      <c r="G56" s="85">
        <f t="shared" si="23"/>
        <v>0</v>
      </c>
      <c r="H56" s="260"/>
      <c r="I56" s="258"/>
      <c r="J56" s="84">
        <f t="shared" si="24"/>
        <v>0</v>
      </c>
      <c r="K56" s="85">
        <f t="shared" si="25"/>
        <v>0</v>
      </c>
      <c r="L56" s="260"/>
      <c r="M56" s="258"/>
      <c r="N56" s="84">
        <f t="shared" si="26"/>
        <v>0</v>
      </c>
      <c r="O56" s="85">
        <f t="shared" si="27"/>
        <v>0</v>
      </c>
      <c r="P56" s="260"/>
      <c r="Q56" s="258"/>
      <c r="R56" s="84">
        <f t="shared" si="28"/>
        <v>0</v>
      </c>
      <c r="S56" s="85">
        <f t="shared" si="29"/>
        <v>0</v>
      </c>
      <c r="T56" s="201">
        <f t="shared" si="30"/>
        <v>0</v>
      </c>
      <c r="U56" s="205">
        <f t="shared" si="31"/>
        <v>0</v>
      </c>
      <c r="V56" s="223">
        <f t="shared" si="32"/>
        <v>-1</v>
      </c>
      <c r="W56" s="231">
        <f t="shared" si="33"/>
        <v>0</v>
      </c>
      <c r="X56" s="225">
        <f t="shared" si="34"/>
        <v>0</v>
      </c>
      <c r="Y56" s="515">
        <v>46</v>
      </c>
      <c r="Z56" s="61">
        <f t="shared" si="13"/>
        <v>-1</v>
      </c>
      <c r="AA56" s="142">
        <f t="shared" si="14"/>
        <v>0</v>
      </c>
      <c r="AB56" s="142">
        <f t="shared" si="15"/>
        <v>0</v>
      </c>
      <c r="AC56" s="159"/>
      <c r="AD56" s="159"/>
      <c r="AE56" s="142">
        <f t="shared" si="16"/>
        <v>0</v>
      </c>
      <c r="AF56" s="142">
        <f t="shared" si="17"/>
        <v>0</v>
      </c>
      <c r="AG56" s="159"/>
      <c r="AH56" s="159"/>
      <c r="AI56" s="142">
        <f t="shared" si="18"/>
        <v>0</v>
      </c>
      <c r="AJ56" s="142">
        <f t="shared" si="19"/>
        <v>0</v>
      </c>
      <c r="AK56" s="159"/>
      <c r="AL56" s="159"/>
      <c r="AM56" s="142">
        <f t="shared" si="20"/>
        <v>0</v>
      </c>
      <c r="AN56" s="142">
        <f t="shared" si="21"/>
        <v>0</v>
      </c>
      <c r="AO56" s="159"/>
      <c r="AP56" s="159"/>
      <c r="AQ56" s="159"/>
      <c r="AR56" s="159"/>
      <c r="AS56" s="169"/>
      <c r="AT56" s="169"/>
      <c r="AU56" s="169"/>
      <c r="AV56" s="169"/>
      <c r="AW56" s="169"/>
    </row>
    <row r="57" spans="1:49" s="42" customFormat="1" ht="34.15" customHeight="1">
      <c r="A57" s="270">
        <v>47</v>
      </c>
      <c r="B57" s="258"/>
      <c r="C57" s="309"/>
      <c r="D57" s="260"/>
      <c r="E57" s="258"/>
      <c r="F57" s="84">
        <f t="shared" si="22"/>
        <v>0</v>
      </c>
      <c r="G57" s="85">
        <f t="shared" si="23"/>
        <v>0</v>
      </c>
      <c r="H57" s="260"/>
      <c r="I57" s="258"/>
      <c r="J57" s="84">
        <f t="shared" si="24"/>
        <v>0</v>
      </c>
      <c r="K57" s="85">
        <f t="shared" si="25"/>
        <v>0</v>
      </c>
      <c r="L57" s="260"/>
      <c r="M57" s="258"/>
      <c r="N57" s="84">
        <f t="shared" si="26"/>
        <v>0</v>
      </c>
      <c r="O57" s="85">
        <f t="shared" si="27"/>
        <v>0</v>
      </c>
      <c r="P57" s="260"/>
      <c r="Q57" s="258"/>
      <c r="R57" s="84">
        <f t="shared" si="28"/>
        <v>0</v>
      </c>
      <c r="S57" s="85">
        <f t="shared" si="29"/>
        <v>0</v>
      </c>
      <c r="T57" s="201">
        <f t="shared" si="30"/>
        <v>0</v>
      </c>
      <c r="U57" s="205">
        <f t="shared" si="31"/>
        <v>0</v>
      </c>
      <c r="V57" s="223">
        <f t="shared" si="32"/>
        <v>-1</v>
      </c>
      <c r="W57" s="224">
        <f t="shared" si="33"/>
        <v>0</v>
      </c>
      <c r="X57" s="226">
        <f t="shared" si="34"/>
        <v>0</v>
      </c>
      <c r="Y57" s="515">
        <v>47</v>
      </c>
      <c r="Z57" s="61">
        <f t="shared" si="13"/>
        <v>-1</v>
      </c>
      <c r="AA57" s="142">
        <f t="shared" si="14"/>
        <v>0</v>
      </c>
      <c r="AB57" s="142">
        <f t="shared" si="15"/>
        <v>0</v>
      </c>
      <c r="AC57" s="159"/>
      <c r="AD57" s="159"/>
      <c r="AE57" s="142">
        <f t="shared" si="16"/>
        <v>0</v>
      </c>
      <c r="AF57" s="142">
        <f t="shared" si="17"/>
        <v>0</v>
      </c>
      <c r="AG57" s="159"/>
      <c r="AH57" s="159"/>
      <c r="AI57" s="142">
        <f t="shared" si="18"/>
        <v>0</v>
      </c>
      <c r="AJ57" s="142">
        <f t="shared" si="19"/>
        <v>0</v>
      </c>
      <c r="AK57" s="159"/>
      <c r="AL57" s="159"/>
      <c r="AM57" s="142">
        <f t="shared" si="20"/>
        <v>0</v>
      </c>
      <c r="AN57" s="142">
        <f t="shared" si="21"/>
        <v>0</v>
      </c>
      <c r="AO57" s="159"/>
      <c r="AP57" s="159"/>
      <c r="AQ57" s="159"/>
      <c r="AR57" s="159"/>
      <c r="AS57" s="169"/>
      <c r="AT57" s="169"/>
      <c r="AU57" s="169"/>
      <c r="AV57" s="169"/>
      <c r="AW57" s="169"/>
    </row>
    <row r="58" spans="1:49" s="42" customFormat="1" ht="34.15" customHeight="1" thickBot="1">
      <c r="A58" s="272">
        <v>48</v>
      </c>
      <c r="B58" s="259"/>
      <c r="C58" s="312"/>
      <c r="D58" s="264"/>
      <c r="E58" s="259"/>
      <c r="F58" s="86">
        <f t="shared" si="22"/>
        <v>0</v>
      </c>
      <c r="G58" s="87">
        <f t="shared" si="23"/>
        <v>0</v>
      </c>
      <c r="H58" s="264"/>
      <c r="I58" s="259"/>
      <c r="J58" s="86">
        <f t="shared" si="24"/>
        <v>0</v>
      </c>
      <c r="K58" s="87">
        <f t="shared" si="25"/>
        <v>0</v>
      </c>
      <c r="L58" s="264"/>
      <c r="M58" s="259"/>
      <c r="N58" s="86">
        <f t="shared" si="26"/>
        <v>0</v>
      </c>
      <c r="O58" s="87">
        <f t="shared" si="27"/>
        <v>0</v>
      </c>
      <c r="P58" s="264"/>
      <c r="Q58" s="259"/>
      <c r="R58" s="86">
        <f t="shared" si="28"/>
        <v>0</v>
      </c>
      <c r="S58" s="87">
        <f t="shared" si="29"/>
        <v>0</v>
      </c>
      <c r="T58" s="202">
        <f t="shared" si="30"/>
        <v>0</v>
      </c>
      <c r="U58" s="207">
        <f t="shared" si="31"/>
        <v>0</v>
      </c>
      <c r="V58" s="227">
        <f t="shared" si="32"/>
        <v>-1</v>
      </c>
      <c r="W58" s="228">
        <f t="shared" si="33"/>
        <v>0</v>
      </c>
      <c r="X58" s="230">
        <f t="shared" si="34"/>
        <v>0</v>
      </c>
      <c r="Y58" s="516">
        <v>48</v>
      </c>
      <c r="Z58" s="61">
        <f t="shared" si="13"/>
        <v>-1</v>
      </c>
      <c r="AA58" s="142">
        <f t="shared" si="14"/>
        <v>0</v>
      </c>
      <c r="AB58" s="142">
        <f t="shared" si="15"/>
        <v>0</v>
      </c>
      <c r="AC58" s="159"/>
      <c r="AD58" s="159"/>
      <c r="AE58" s="142">
        <f t="shared" si="16"/>
        <v>0</v>
      </c>
      <c r="AF58" s="142">
        <f t="shared" si="17"/>
        <v>0</v>
      </c>
      <c r="AG58" s="159"/>
      <c r="AH58" s="159"/>
      <c r="AI58" s="142">
        <f t="shared" si="18"/>
        <v>0</v>
      </c>
      <c r="AJ58" s="142">
        <f t="shared" si="19"/>
        <v>0</v>
      </c>
      <c r="AK58" s="159"/>
      <c r="AL58" s="159"/>
      <c r="AM58" s="142">
        <f t="shared" si="20"/>
        <v>0</v>
      </c>
      <c r="AN58" s="142">
        <f t="shared" si="21"/>
        <v>0</v>
      </c>
      <c r="AO58" s="159"/>
      <c r="AP58" s="159"/>
      <c r="AQ58" s="159"/>
      <c r="AR58" s="159"/>
      <c r="AS58" s="169"/>
      <c r="AT58" s="169"/>
      <c r="AU58" s="169"/>
      <c r="AV58" s="169"/>
      <c r="AW58" s="169"/>
    </row>
    <row r="59" spans="1:49" s="42" customFormat="1" ht="34.15" customHeight="1">
      <c r="A59" s="268">
        <v>49</v>
      </c>
      <c r="B59" s="261"/>
      <c r="C59" s="309"/>
      <c r="D59" s="260"/>
      <c r="E59" s="262"/>
      <c r="F59" s="90">
        <f t="shared" si="22"/>
        <v>0</v>
      </c>
      <c r="G59" s="91">
        <f t="shared" si="23"/>
        <v>0</v>
      </c>
      <c r="H59" s="260"/>
      <c r="I59" s="262"/>
      <c r="J59" s="90">
        <f t="shared" si="24"/>
        <v>0</v>
      </c>
      <c r="K59" s="91">
        <f t="shared" si="25"/>
        <v>0</v>
      </c>
      <c r="L59" s="260"/>
      <c r="M59" s="262"/>
      <c r="N59" s="90">
        <f t="shared" si="26"/>
        <v>0</v>
      </c>
      <c r="O59" s="91">
        <f t="shared" si="27"/>
        <v>0</v>
      </c>
      <c r="P59" s="260"/>
      <c r="Q59" s="262"/>
      <c r="R59" s="90">
        <f t="shared" si="28"/>
        <v>0</v>
      </c>
      <c r="S59" s="91">
        <f t="shared" si="29"/>
        <v>0</v>
      </c>
      <c r="T59" s="200">
        <f t="shared" si="30"/>
        <v>0</v>
      </c>
      <c r="U59" s="206">
        <f t="shared" si="31"/>
        <v>0</v>
      </c>
      <c r="V59" s="221">
        <f t="shared" si="32"/>
        <v>-1</v>
      </c>
      <c r="W59" s="229">
        <f t="shared" si="33"/>
        <v>0</v>
      </c>
      <c r="X59" s="222">
        <f t="shared" si="34"/>
        <v>0</v>
      </c>
      <c r="Y59" s="517">
        <v>49</v>
      </c>
      <c r="Z59" s="61">
        <f t="shared" si="13"/>
        <v>-1</v>
      </c>
      <c r="AA59" s="142">
        <f t="shared" si="14"/>
        <v>0</v>
      </c>
      <c r="AB59" s="142">
        <f t="shared" si="15"/>
        <v>0</v>
      </c>
      <c r="AC59" s="159"/>
      <c r="AD59" s="159"/>
      <c r="AE59" s="142">
        <f t="shared" si="16"/>
        <v>0</v>
      </c>
      <c r="AF59" s="142">
        <f t="shared" si="17"/>
        <v>0</v>
      </c>
      <c r="AG59" s="159"/>
      <c r="AH59" s="159"/>
      <c r="AI59" s="142">
        <f t="shared" si="18"/>
        <v>0</v>
      </c>
      <c r="AJ59" s="142">
        <f t="shared" si="19"/>
        <v>0</v>
      </c>
      <c r="AK59" s="159"/>
      <c r="AL59" s="159"/>
      <c r="AM59" s="142">
        <f t="shared" si="20"/>
        <v>0</v>
      </c>
      <c r="AN59" s="142">
        <f t="shared" si="21"/>
        <v>0</v>
      </c>
      <c r="AO59" s="159"/>
      <c r="AP59" s="159"/>
      <c r="AQ59" s="159"/>
      <c r="AR59" s="159"/>
      <c r="AS59" s="169"/>
      <c r="AT59" s="169"/>
      <c r="AU59" s="169"/>
      <c r="AV59" s="169"/>
      <c r="AW59" s="169"/>
    </row>
    <row r="60" spans="1:49" s="42" customFormat="1" ht="34.15" customHeight="1">
      <c r="A60" s="270">
        <v>50</v>
      </c>
      <c r="B60" s="258"/>
      <c r="C60" s="309"/>
      <c r="D60" s="260"/>
      <c r="E60" s="258"/>
      <c r="F60" s="84">
        <f t="shared" si="22"/>
        <v>0</v>
      </c>
      <c r="G60" s="85">
        <f t="shared" si="23"/>
        <v>0</v>
      </c>
      <c r="H60" s="260"/>
      <c r="I60" s="258"/>
      <c r="J60" s="84">
        <f t="shared" si="24"/>
        <v>0</v>
      </c>
      <c r="K60" s="85">
        <f t="shared" si="25"/>
        <v>0</v>
      </c>
      <c r="L60" s="260"/>
      <c r="M60" s="258"/>
      <c r="N60" s="84">
        <f t="shared" si="26"/>
        <v>0</v>
      </c>
      <c r="O60" s="85">
        <f t="shared" si="27"/>
        <v>0</v>
      </c>
      <c r="P60" s="260"/>
      <c r="Q60" s="258"/>
      <c r="R60" s="84">
        <f t="shared" si="28"/>
        <v>0</v>
      </c>
      <c r="S60" s="85">
        <f t="shared" si="29"/>
        <v>0</v>
      </c>
      <c r="T60" s="201">
        <f t="shared" si="30"/>
        <v>0</v>
      </c>
      <c r="U60" s="205">
        <f t="shared" si="31"/>
        <v>0</v>
      </c>
      <c r="V60" s="223">
        <f t="shared" si="32"/>
        <v>-1</v>
      </c>
      <c r="W60" s="224">
        <f t="shared" si="33"/>
        <v>0</v>
      </c>
      <c r="X60" s="225">
        <f t="shared" si="34"/>
        <v>0</v>
      </c>
      <c r="Y60" s="515">
        <v>50</v>
      </c>
      <c r="Z60" s="61">
        <f t="shared" si="13"/>
        <v>-1</v>
      </c>
      <c r="AA60" s="142">
        <f t="shared" si="14"/>
        <v>0</v>
      </c>
      <c r="AB60" s="142">
        <f t="shared" si="15"/>
        <v>0</v>
      </c>
      <c r="AC60" s="159"/>
      <c r="AD60" s="159"/>
      <c r="AE60" s="142">
        <f t="shared" si="16"/>
        <v>0</v>
      </c>
      <c r="AF60" s="142">
        <f t="shared" si="17"/>
        <v>0</v>
      </c>
      <c r="AG60" s="159"/>
      <c r="AH60" s="159"/>
      <c r="AI60" s="142">
        <f t="shared" si="18"/>
        <v>0</v>
      </c>
      <c r="AJ60" s="142">
        <f t="shared" si="19"/>
        <v>0</v>
      </c>
      <c r="AK60" s="159"/>
      <c r="AL60" s="159"/>
      <c r="AM60" s="142">
        <f t="shared" si="20"/>
        <v>0</v>
      </c>
      <c r="AN60" s="142">
        <f t="shared" si="21"/>
        <v>0</v>
      </c>
      <c r="AO60" s="159"/>
      <c r="AP60" s="159"/>
      <c r="AQ60" s="159"/>
      <c r="AR60" s="159"/>
      <c r="AS60" s="169"/>
      <c r="AT60" s="169"/>
      <c r="AU60" s="169"/>
      <c r="AV60" s="169"/>
      <c r="AW60" s="169"/>
    </row>
    <row r="61" spans="1:49" s="42" customFormat="1" ht="34.15" customHeight="1">
      <c r="A61" s="270">
        <v>51</v>
      </c>
      <c r="B61" s="258"/>
      <c r="C61" s="309"/>
      <c r="D61" s="260"/>
      <c r="E61" s="258"/>
      <c r="F61" s="84">
        <f t="shared" si="22"/>
        <v>0</v>
      </c>
      <c r="G61" s="85">
        <f t="shared" si="23"/>
        <v>0</v>
      </c>
      <c r="H61" s="260"/>
      <c r="I61" s="258"/>
      <c r="J61" s="84">
        <f t="shared" si="24"/>
        <v>0</v>
      </c>
      <c r="K61" s="85">
        <f t="shared" si="25"/>
        <v>0</v>
      </c>
      <c r="L61" s="260"/>
      <c r="M61" s="258"/>
      <c r="N61" s="84">
        <f t="shared" si="26"/>
        <v>0</v>
      </c>
      <c r="O61" s="85">
        <f t="shared" si="27"/>
        <v>0</v>
      </c>
      <c r="P61" s="260"/>
      <c r="Q61" s="258"/>
      <c r="R61" s="84">
        <f t="shared" si="28"/>
        <v>0</v>
      </c>
      <c r="S61" s="85">
        <f t="shared" si="29"/>
        <v>0</v>
      </c>
      <c r="T61" s="201">
        <f t="shared" si="30"/>
        <v>0</v>
      </c>
      <c r="U61" s="205">
        <f t="shared" si="31"/>
        <v>0</v>
      </c>
      <c r="V61" s="223">
        <f t="shared" si="32"/>
        <v>-1</v>
      </c>
      <c r="W61" s="224">
        <f t="shared" si="33"/>
        <v>0</v>
      </c>
      <c r="X61" s="225">
        <f t="shared" si="34"/>
        <v>0</v>
      </c>
      <c r="Y61" s="515">
        <v>51</v>
      </c>
      <c r="Z61" s="61">
        <f t="shared" si="13"/>
        <v>-1</v>
      </c>
      <c r="AA61" s="142">
        <f t="shared" si="14"/>
        <v>0</v>
      </c>
      <c r="AB61" s="142">
        <f t="shared" si="15"/>
        <v>0</v>
      </c>
      <c r="AC61" s="159"/>
      <c r="AD61" s="159"/>
      <c r="AE61" s="142">
        <f t="shared" si="16"/>
        <v>0</v>
      </c>
      <c r="AF61" s="142">
        <f t="shared" si="17"/>
        <v>0</v>
      </c>
      <c r="AG61" s="159"/>
      <c r="AH61" s="159"/>
      <c r="AI61" s="142">
        <f t="shared" si="18"/>
        <v>0</v>
      </c>
      <c r="AJ61" s="142">
        <f t="shared" si="19"/>
        <v>0</v>
      </c>
      <c r="AK61" s="159"/>
      <c r="AL61" s="159"/>
      <c r="AM61" s="142">
        <f t="shared" si="20"/>
        <v>0</v>
      </c>
      <c r="AN61" s="142">
        <f t="shared" si="21"/>
        <v>0</v>
      </c>
      <c r="AO61" s="159"/>
      <c r="AP61" s="159"/>
      <c r="AQ61" s="159"/>
      <c r="AR61" s="159"/>
      <c r="AS61" s="169"/>
      <c r="AT61" s="169"/>
      <c r="AU61" s="169"/>
      <c r="AV61" s="169"/>
      <c r="AW61" s="169"/>
    </row>
    <row r="62" spans="1:49" s="42" customFormat="1" ht="34.15" customHeight="1">
      <c r="A62" s="270">
        <v>52</v>
      </c>
      <c r="B62" s="258"/>
      <c r="C62" s="309"/>
      <c r="D62" s="260"/>
      <c r="E62" s="258"/>
      <c r="F62" s="84">
        <f t="shared" si="22"/>
        <v>0</v>
      </c>
      <c r="G62" s="85">
        <f t="shared" si="23"/>
        <v>0</v>
      </c>
      <c r="H62" s="260"/>
      <c r="I62" s="258"/>
      <c r="J62" s="84">
        <f t="shared" si="24"/>
        <v>0</v>
      </c>
      <c r="K62" s="85">
        <f t="shared" si="25"/>
        <v>0</v>
      </c>
      <c r="L62" s="260"/>
      <c r="M62" s="258"/>
      <c r="N62" s="84">
        <f t="shared" si="26"/>
        <v>0</v>
      </c>
      <c r="O62" s="85">
        <f t="shared" si="27"/>
        <v>0</v>
      </c>
      <c r="P62" s="260"/>
      <c r="Q62" s="258"/>
      <c r="R62" s="84">
        <f t="shared" si="28"/>
        <v>0</v>
      </c>
      <c r="S62" s="85">
        <f t="shared" si="29"/>
        <v>0</v>
      </c>
      <c r="T62" s="201">
        <f t="shared" si="30"/>
        <v>0</v>
      </c>
      <c r="U62" s="205">
        <f t="shared" si="31"/>
        <v>0</v>
      </c>
      <c r="V62" s="223">
        <f t="shared" si="32"/>
        <v>-1</v>
      </c>
      <c r="W62" s="224">
        <f t="shared" si="33"/>
        <v>0</v>
      </c>
      <c r="X62" s="225">
        <f t="shared" si="34"/>
        <v>0</v>
      </c>
      <c r="Y62" s="515">
        <v>52</v>
      </c>
      <c r="Z62" s="61">
        <f t="shared" si="13"/>
        <v>-1</v>
      </c>
      <c r="AA62" s="142">
        <f t="shared" si="14"/>
        <v>0</v>
      </c>
      <c r="AB62" s="142">
        <f t="shared" si="15"/>
        <v>0</v>
      </c>
      <c r="AC62" s="159"/>
      <c r="AD62" s="159"/>
      <c r="AE62" s="142">
        <f t="shared" si="16"/>
        <v>0</v>
      </c>
      <c r="AF62" s="142">
        <f t="shared" si="17"/>
        <v>0</v>
      </c>
      <c r="AG62" s="159"/>
      <c r="AH62" s="159"/>
      <c r="AI62" s="142">
        <f t="shared" si="18"/>
        <v>0</v>
      </c>
      <c r="AJ62" s="142">
        <f t="shared" si="19"/>
        <v>0</v>
      </c>
      <c r="AK62" s="159"/>
      <c r="AL62" s="159"/>
      <c r="AM62" s="142">
        <f t="shared" si="20"/>
        <v>0</v>
      </c>
      <c r="AN62" s="142">
        <f t="shared" si="21"/>
        <v>0</v>
      </c>
      <c r="AO62" s="159"/>
      <c r="AP62" s="159"/>
      <c r="AQ62" s="159"/>
      <c r="AR62" s="159"/>
      <c r="AS62" s="169"/>
      <c r="AT62" s="169"/>
      <c r="AU62" s="169"/>
      <c r="AV62" s="169"/>
      <c r="AW62" s="169"/>
    </row>
    <row r="63" spans="1:49" s="42" customFormat="1" ht="34.15" customHeight="1">
      <c r="A63" s="270">
        <v>53</v>
      </c>
      <c r="B63" s="258"/>
      <c r="C63" s="309"/>
      <c r="D63" s="260"/>
      <c r="E63" s="258"/>
      <c r="F63" s="84">
        <f t="shared" si="22"/>
        <v>0</v>
      </c>
      <c r="G63" s="85">
        <f t="shared" si="23"/>
        <v>0</v>
      </c>
      <c r="H63" s="260"/>
      <c r="I63" s="258"/>
      <c r="J63" s="84">
        <f t="shared" si="24"/>
        <v>0</v>
      </c>
      <c r="K63" s="85">
        <f t="shared" si="25"/>
        <v>0</v>
      </c>
      <c r="L63" s="260"/>
      <c r="M63" s="258"/>
      <c r="N63" s="84">
        <f t="shared" si="26"/>
        <v>0</v>
      </c>
      <c r="O63" s="85">
        <f t="shared" si="27"/>
        <v>0</v>
      </c>
      <c r="P63" s="260"/>
      <c r="Q63" s="258"/>
      <c r="R63" s="84">
        <f t="shared" si="28"/>
        <v>0</v>
      </c>
      <c r="S63" s="85">
        <f t="shared" si="29"/>
        <v>0</v>
      </c>
      <c r="T63" s="201">
        <f t="shared" si="30"/>
        <v>0</v>
      </c>
      <c r="U63" s="205">
        <f t="shared" si="31"/>
        <v>0</v>
      </c>
      <c r="V63" s="223">
        <f t="shared" si="32"/>
        <v>-1</v>
      </c>
      <c r="W63" s="224">
        <f t="shared" si="33"/>
        <v>0</v>
      </c>
      <c r="X63" s="225">
        <f t="shared" si="34"/>
        <v>0</v>
      </c>
      <c r="Y63" s="515">
        <v>53</v>
      </c>
      <c r="Z63" s="61">
        <f t="shared" si="13"/>
        <v>-1</v>
      </c>
      <c r="AA63" s="142">
        <f t="shared" si="14"/>
        <v>0</v>
      </c>
      <c r="AB63" s="142">
        <f t="shared" si="15"/>
        <v>0</v>
      </c>
      <c r="AC63" s="159"/>
      <c r="AD63" s="159"/>
      <c r="AE63" s="142">
        <f t="shared" si="16"/>
        <v>0</v>
      </c>
      <c r="AF63" s="142">
        <f t="shared" si="17"/>
        <v>0</v>
      </c>
      <c r="AG63" s="159"/>
      <c r="AH63" s="159"/>
      <c r="AI63" s="142">
        <f t="shared" si="18"/>
        <v>0</v>
      </c>
      <c r="AJ63" s="142">
        <f t="shared" si="19"/>
        <v>0</v>
      </c>
      <c r="AK63" s="159"/>
      <c r="AL63" s="159"/>
      <c r="AM63" s="142">
        <f t="shared" si="20"/>
        <v>0</v>
      </c>
      <c r="AN63" s="142">
        <f t="shared" si="21"/>
        <v>0</v>
      </c>
      <c r="AO63" s="159"/>
      <c r="AP63" s="159"/>
      <c r="AQ63" s="159"/>
      <c r="AR63" s="159"/>
      <c r="AS63" s="169"/>
      <c r="AT63" s="169"/>
      <c r="AU63" s="169"/>
      <c r="AV63" s="169"/>
      <c r="AW63" s="169"/>
    </row>
    <row r="64" spans="1:49" s="42" customFormat="1" ht="34.15" customHeight="1">
      <c r="A64" s="270">
        <v>54</v>
      </c>
      <c r="B64" s="258"/>
      <c r="C64" s="309"/>
      <c r="D64" s="276"/>
      <c r="E64" s="275"/>
      <c r="F64" s="84">
        <f t="shared" si="22"/>
        <v>0</v>
      </c>
      <c r="G64" s="85">
        <f t="shared" si="23"/>
        <v>0</v>
      </c>
      <c r="H64" s="260"/>
      <c r="I64" s="258"/>
      <c r="J64" s="84">
        <f t="shared" si="24"/>
        <v>0</v>
      </c>
      <c r="K64" s="85">
        <f t="shared" si="25"/>
        <v>0</v>
      </c>
      <c r="L64" s="292"/>
      <c r="M64" s="290"/>
      <c r="N64" s="84">
        <f t="shared" si="26"/>
        <v>0</v>
      </c>
      <c r="O64" s="85">
        <f t="shared" si="27"/>
        <v>0</v>
      </c>
      <c r="P64" s="292"/>
      <c r="Q64" s="290"/>
      <c r="R64" s="84">
        <f t="shared" si="28"/>
        <v>0</v>
      </c>
      <c r="S64" s="85">
        <f t="shared" si="29"/>
        <v>0</v>
      </c>
      <c r="T64" s="201">
        <f t="shared" si="30"/>
        <v>0</v>
      </c>
      <c r="U64" s="205">
        <f t="shared" si="31"/>
        <v>0</v>
      </c>
      <c r="V64" s="223">
        <f t="shared" si="32"/>
        <v>-1</v>
      </c>
      <c r="W64" s="224">
        <f t="shared" si="33"/>
        <v>0</v>
      </c>
      <c r="X64" s="226">
        <f t="shared" si="34"/>
        <v>0</v>
      </c>
      <c r="Y64" s="515">
        <v>54</v>
      </c>
      <c r="Z64" s="61">
        <f t="shared" si="13"/>
        <v>-1</v>
      </c>
      <c r="AA64" s="142">
        <f t="shared" si="14"/>
        <v>0</v>
      </c>
      <c r="AB64" s="142">
        <f t="shared" si="15"/>
        <v>0</v>
      </c>
      <c r="AC64" s="159"/>
      <c r="AD64" s="159"/>
      <c r="AE64" s="142">
        <f t="shared" si="16"/>
        <v>0</v>
      </c>
      <c r="AF64" s="142">
        <f t="shared" si="17"/>
        <v>0</v>
      </c>
      <c r="AG64" s="159"/>
      <c r="AH64" s="159"/>
      <c r="AI64" s="142">
        <f t="shared" si="18"/>
        <v>0</v>
      </c>
      <c r="AJ64" s="142">
        <f t="shared" si="19"/>
        <v>0</v>
      </c>
      <c r="AK64" s="159"/>
      <c r="AL64" s="159"/>
      <c r="AM64" s="142">
        <f t="shared" si="20"/>
        <v>0</v>
      </c>
      <c r="AN64" s="142">
        <f t="shared" si="21"/>
        <v>0</v>
      </c>
      <c r="AO64" s="159"/>
      <c r="AP64" s="159"/>
      <c r="AQ64" s="159"/>
      <c r="AR64" s="159"/>
      <c r="AS64" s="169"/>
      <c r="AT64" s="169"/>
      <c r="AU64" s="169"/>
      <c r="AV64" s="169"/>
      <c r="AW64" s="169"/>
    </row>
    <row r="65" spans="1:49" s="42" customFormat="1" ht="34.15" customHeight="1">
      <c r="A65" s="270">
        <v>55</v>
      </c>
      <c r="B65" s="258"/>
      <c r="C65" s="309"/>
      <c r="D65" s="260"/>
      <c r="E65" s="258"/>
      <c r="F65" s="84">
        <f t="shared" si="22"/>
        <v>0</v>
      </c>
      <c r="G65" s="85">
        <f t="shared" si="23"/>
        <v>0</v>
      </c>
      <c r="H65" s="260"/>
      <c r="I65" s="258"/>
      <c r="J65" s="84">
        <f t="shared" si="24"/>
        <v>0</v>
      </c>
      <c r="K65" s="85">
        <f t="shared" si="25"/>
        <v>0</v>
      </c>
      <c r="L65" s="260"/>
      <c r="M65" s="258"/>
      <c r="N65" s="84">
        <f t="shared" si="26"/>
        <v>0</v>
      </c>
      <c r="O65" s="85">
        <f t="shared" si="27"/>
        <v>0</v>
      </c>
      <c r="P65" s="260"/>
      <c r="Q65" s="258"/>
      <c r="R65" s="84">
        <f t="shared" si="28"/>
        <v>0</v>
      </c>
      <c r="S65" s="85">
        <f t="shared" si="29"/>
        <v>0</v>
      </c>
      <c r="T65" s="201">
        <f t="shared" si="30"/>
        <v>0</v>
      </c>
      <c r="U65" s="205">
        <f t="shared" si="31"/>
        <v>0</v>
      </c>
      <c r="V65" s="223">
        <f t="shared" si="32"/>
        <v>-1</v>
      </c>
      <c r="W65" s="224">
        <f t="shared" si="33"/>
        <v>0</v>
      </c>
      <c r="X65" s="225">
        <f t="shared" si="34"/>
        <v>0</v>
      </c>
      <c r="Y65" s="515">
        <v>55</v>
      </c>
      <c r="Z65" s="61">
        <f t="shared" si="13"/>
        <v>-1</v>
      </c>
      <c r="AA65" s="142">
        <f t="shared" si="14"/>
        <v>0</v>
      </c>
      <c r="AB65" s="142">
        <f t="shared" si="15"/>
        <v>0</v>
      </c>
      <c r="AC65" s="159"/>
      <c r="AD65" s="159"/>
      <c r="AE65" s="142">
        <f t="shared" si="16"/>
        <v>0</v>
      </c>
      <c r="AF65" s="142">
        <f t="shared" si="17"/>
        <v>0</v>
      </c>
      <c r="AG65" s="159"/>
      <c r="AH65" s="159"/>
      <c r="AI65" s="142">
        <f t="shared" si="18"/>
        <v>0</v>
      </c>
      <c r="AJ65" s="142">
        <f t="shared" si="19"/>
        <v>0</v>
      </c>
      <c r="AK65" s="159"/>
      <c r="AL65" s="159"/>
      <c r="AM65" s="142">
        <f t="shared" si="20"/>
        <v>0</v>
      </c>
      <c r="AN65" s="142">
        <f t="shared" si="21"/>
        <v>0</v>
      </c>
      <c r="AO65" s="159"/>
      <c r="AP65" s="159"/>
      <c r="AQ65" s="159"/>
      <c r="AR65" s="159"/>
      <c r="AS65" s="169"/>
      <c r="AT65" s="169"/>
      <c r="AU65" s="169"/>
      <c r="AV65" s="169"/>
      <c r="AW65" s="169"/>
    </row>
    <row r="66" spans="1:49" s="42" customFormat="1" ht="34.15" customHeight="1" thickBot="1">
      <c r="A66" s="272">
        <v>56</v>
      </c>
      <c r="B66" s="259"/>
      <c r="C66" s="309"/>
      <c r="D66" s="260"/>
      <c r="E66" s="258"/>
      <c r="F66" s="193">
        <f t="shared" si="22"/>
        <v>0</v>
      </c>
      <c r="G66" s="194">
        <f t="shared" si="23"/>
        <v>0</v>
      </c>
      <c r="H66" s="260"/>
      <c r="I66" s="258"/>
      <c r="J66" s="193">
        <f t="shared" si="24"/>
        <v>0</v>
      </c>
      <c r="K66" s="194">
        <f t="shared" si="25"/>
        <v>0</v>
      </c>
      <c r="L66" s="260"/>
      <c r="M66" s="258"/>
      <c r="N66" s="193">
        <f t="shared" si="26"/>
        <v>0</v>
      </c>
      <c r="O66" s="194">
        <f t="shared" si="27"/>
        <v>0</v>
      </c>
      <c r="P66" s="260"/>
      <c r="Q66" s="258"/>
      <c r="R66" s="193">
        <f t="shared" si="28"/>
        <v>0</v>
      </c>
      <c r="S66" s="194">
        <f t="shared" si="29"/>
        <v>0</v>
      </c>
      <c r="T66" s="202">
        <f t="shared" si="30"/>
        <v>0</v>
      </c>
      <c r="U66" s="207">
        <f t="shared" si="31"/>
        <v>0</v>
      </c>
      <c r="V66" s="227">
        <f t="shared" si="32"/>
        <v>-1</v>
      </c>
      <c r="W66" s="228">
        <f t="shared" si="33"/>
        <v>0</v>
      </c>
      <c r="X66" s="230">
        <f t="shared" si="34"/>
        <v>0</v>
      </c>
      <c r="Y66" s="516">
        <v>56</v>
      </c>
      <c r="Z66" s="61">
        <f t="shared" si="13"/>
        <v>-1</v>
      </c>
      <c r="AA66" s="142">
        <f t="shared" si="14"/>
        <v>0</v>
      </c>
      <c r="AB66" s="142">
        <f t="shared" si="15"/>
        <v>0</v>
      </c>
      <c r="AC66" s="159"/>
      <c r="AD66" s="159"/>
      <c r="AE66" s="142">
        <f t="shared" si="16"/>
        <v>0</v>
      </c>
      <c r="AF66" s="142">
        <f t="shared" si="17"/>
        <v>0</v>
      </c>
      <c r="AG66" s="159"/>
      <c r="AH66" s="159"/>
      <c r="AI66" s="142">
        <f t="shared" si="18"/>
        <v>0</v>
      </c>
      <c r="AJ66" s="142">
        <f t="shared" si="19"/>
        <v>0</v>
      </c>
      <c r="AK66" s="159"/>
      <c r="AL66" s="159"/>
      <c r="AM66" s="142">
        <f t="shared" si="20"/>
        <v>0</v>
      </c>
      <c r="AN66" s="142">
        <f t="shared" si="21"/>
        <v>0</v>
      </c>
      <c r="AO66" s="159"/>
      <c r="AP66" s="159"/>
      <c r="AQ66" s="159"/>
      <c r="AR66" s="159"/>
      <c r="AS66" s="169"/>
      <c r="AT66" s="169"/>
      <c r="AU66" s="169"/>
      <c r="AV66" s="169"/>
      <c r="AW66" s="169"/>
    </row>
    <row r="67" spans="1:49" s="42" customFormat="1" ht="34.15" customHeight="1">
      <c r="A67" s="268">
        <v>57</v>
      </c>
      <c r="B67" s="261"/>
      <c r="C67" s="308"/>
      <c r="D67" s="263"/>
      <c r="E67" s="261"/>
      <c r="F67" s="176">
        <f t="shared" si="22"/>
        <v>0</v>
      </c>
      <c r="G67" s="177">
        <f t="shared" si="23"/>
        <v>0</v>
      </c>
      <c r="H67" s="263"/>
      <c r="I67" s="261"/>
      <c r="J67" s="176">
        <f t="shared" si="24"/>
        <v>0</v>
      </c>
      <c r="K67" s="177">
        <f t="shared" si="25"/>
        <v>0</v>
      </c>
      <c r="L67" s="263"/>
      <c r="M67" s="261"/>
      <c r="N67" s="176">
        <f t="shared" si="26"/>
        <v>0</v>
      </c>
      <c r="O67" s="177">
        <f t="shared" si="27"/>
        <v>0</v>
      </c>
      <c r="P67" s="263"/>
      <c r="Q67" s="261"/>
      <c r="R67" s="176">
        <f t="shared" si="28"/>
        <v>0</v>
      </c>
      <c r="S67" s="177">
        <f t="shared" si="29"/>
        <v>0</v>
      </c>
      <c r="T67" s="200">
        <f t="shared" si="30"/>
        <v>0</v>
      </c>
      <c r="U67" s="206">
        <f t="shared" si="31"/>
        <v>0</v>
      </c>
      <c r="V67" s="221">
        <f t="shared" si="32"/>
        <v>-1</v>
      </c>
      <c r="W67" s="229">
        <f t="shared" si="33"/>
        <v>0</v>
      </c>
      <c r="X67" s="222">
        <f t="shared" si="34"/>
        <v>0</v>
      </c>
      <c r="Y67" s="517">
        <v>57</v>
      </c>
      <c r="Z67" s="61">
        <f t="shared" si="13"/>
        <v>-1</v>
      </c>
      <c r="AA67" s="142">
        <f t="shared" si="14"/>
        <v>0</v>
      </c>
      <c r="AB67" s="142">
        <f t="shared" si="15"/>
        <v>0</v>
      </c>
      <c r="AC67" s="159"/>
      <c r="AD67" s="159"/>
      <c r="AE67" s="142">
        <f t="shared" si="16"/>
        <v>0</v>
      </c>
      <c r="AF67" s="142">
        <f t="shared" si="17"/>
        <v>0</v>
      </c>
      <c r="AG67" s="159"/>
      <c r="AH67" s="159"/>
      <c r="AI67" s="142">
        <f t="shared" si="18"/>
        <v>0</v>
      </c>
      <c r="AJ67" s="142">
        <f t="shared" si="19"/>
        <v>0</v>
      </c>
      <c r="AK67" s="159"/>
      <c r="AL67" s="159"/>
      <c r="AM67" s="142">
        <f t="shared" si="20"/>
        <v>0</v>
      </c>
      <c r="AN67" s="142">
        <f t="shared" si="21"/>
        <v>0</v>
      </c>
      <c r="AO67" s="159"/>
      <c r="AP67" s="159"/>
      <c r="AQ67" s="159"/>
      <c r="AR67" s="159"/>
      <c r="AS67" s="169"/>
      <c r="AT67" s="169"/>
      <c r="AU67" s="169"/>
      <c r="AV67" s="169"/>
      <c r="AW67" s="169"/>
    </row>
    <row r="68" spans="1:49" s="42" customFormat="1" ht="34.15" customHeight="1">
      <c r="A68" s="270">
        <v>58</v>
      </c>
      <c r="B68" s="258"/>
      <c r="C68" s="309"/>
      <c r="D68" s="260"/>
      <c r="E68" s="258"/>
      <c r="F68" s="84">
        <f t="shared" si="22"/>
        <v>0</v>
      </c>
      <c r="G68" s="85">
        <f t="shared" si="23"/>
        <v>0</v>
      </c>
      <c r="H68" s="260"/>
      <c r="I68" s="258"/>
      <c r="J68" s="84">
        <f t="shared" si="24"/>
        <v>0</v>
      </c>
      <c r="K68" s="85">
        <f t="shared" si="25"/>
        <v>0</v>
      </c>
      <c r="L68" s="260"/>
      <c r="M68" s="258"/>
      <c r="N68" s="84">
        <f t="shared" si="26"/>
        <v>0</v>
      </c>
      <c r="O68" s="85">
        <f t="shared" si="27"/>
        <v>0</v>
      </c>
      <c r="P68" s="260"/>
      <c r="Q68" s="258"/>
      <c r="R68" s="84">
        <f t="shared" si="28"/>
        <v>0</v>
      </c>
      <c r="S68" s="85">
        <f t="shared" si="29"/>
        <v>0</v>
      </c>
      <c r="T68" s="201">
        <f t="shared" si="30"/>
        <v>0</v>
      </c>
      <c r="U68" s="205">
        <f t="shared" si="31"/>
        <v>0</v>
      </c>
      <c r="V68" s="223">
        <f t="shared" si="32"/>
        <v>-1</v>
      </c>
      <c r="W68" s="224">
        <f t="shared" si="33"/>
        <v>0</v>
      </c>
      <c r="X68" s="226">
        <f t="shared" si="34"/>
        <v>0</v>
      </c>
      <c r="Y68" s="515">
        <v>58</v>
      </c>
      <c r="Z68" s="61">
        <f t="shared" si="13"/>
        <v>-1</v>
      </c>
      <c r="AA68" s="142">
        <f t="shared" si="14"/>
        <v>0</v>
      </c>
      <c r="AB68" s="142">
        <f t="shared" si="15"/>
        <v>0</v>
      </c>
      <c r="AC68" s="159"/>
      <c r="AD68" s="159"/>
      <c r="AE68" s="142">
        <f t="shared" si="16"/>
        <v>0</v>
      </c>
      <c r="AF68" s="142">
        <f t="shared" si="17"/>
        <v>0</v>
      </c>
      <c r="AG68" s="159"/>
      <c r="AH68" s="159"/>
      <c r="AI68" s="142">
        <f t="shared" si="18"/>
        <v>0</v>
      </c>
      <c r="AJ68" s="142">
        <f t="shared" si="19"/>
        <v>0</v>
      </c>
      <c r="AK68" s="159"/>
      <c r="AL68" s="159"/>
      <c r="AM68" s="142">
        <f t="shared" si="20"/>
        <v>0</v>
      </c>
      <c r="AN68" s="142">
        <f t="shared" si="21"/>
        <v>0</v>
      </c>
      <c r="AO68" s="159"/>
      <c r="AP68" s="159"/>
      <c r="AQ68" s="159"/>
      <c r="AR68" s="159"/>
      <c r="AS68" s="169"/>
      <c r="AT68" s="169"/>
      <c r="AU68" s="169"/>
      <c r="AV68" s="169"/>
      <c r="AW68" s="169"/>
    </row>
    <row r="69" spans="1:49" s="42" customFormat="1" ht="34.15" customHeight="1">
      <c r="A69" s="270">
        <v>59</v>
      </c>
      <c r="B69" s="258"/>
      <c r="C69" s="309"/>
      <c r="D69" s="260"/>
      <c r="E69" s="258"/>
      <c r="F69" s="84">
        <f t="shared" si="22"/>
        <v>0</v>
      </c>
      <c r="G69" s="85">
        <f t="shared" si="23"/>
        <v>0</v>
      </c>
      <c r="H69" s="260"/>
      <c r="I69" s="258"/>
      <c r="J69" s="84">
        <f t="shared" si="24"/>
        <v>0</v>
      </c>
      <c r="K69" s="85">
        <f t="shared" si="25"/>
        <v>0</v>
      </c>
      <c r="L69" s="260"/>
      <c r="M69" s="258"/>
      <c r="N69" s="84">
        <f t="shared" si="26"/>
        <v>0</v>
      </c>
      <c r="O69" s="85">
        <f t="shared" si="27"/>
        <v>0</v>
      </c>
      <c r="P69" s="260"/>
      <c r="Q69" s="258"/>
      <c r="R69" s="84">
        <f t="shared" si="28"/>
        <v>0</v>
      </c>
      <c r="S69" s="85">
        <f t="shared" si="29"/>
        <v>0</v>
      </c>
      <c r="T69" s="201">
        <f t="shared" si="30"/>
        <v>0</v>
      </c>
      <c r="U69" s="205">
        <f t="shared" si="31"/>
        <v>0</v>
      </c>
      <c r="V69" s="223">
        <f t="shared" si="32"/>
        <v>-1</v>
      </c>
      <c r="W69" s="224">
        <f t="shared" si="33"/>
        <v>0</v>
      </c>
      <c r="X69" s="225">
        <f t="shared" si="34"/>
        <v>0</v>
      </c>
      <c r="Y69" s="515">
        <v>59</v>
      </c>
      <c r="Z69" s="61">
        <f t="shared" si="13"/>
        <v>-1</v>
      </c>
      <c r="AA69" s="142">
        <f t="shared" si="14"/>
        <v>0</v>
      </c>
      <c r="AB69" s="142">
        <f t="shared" si="15"/>
        <v>0</v>
      </c>
      <c r="AC69" s="159"/>
      <c r="AD69" s="159"/>
      <c r="AE69" s="142">
        <f t="shared" si="16"/>
        <v>0</v>
      </c>
      <c r="AF69" s="142">
        <f t="shared" si="17"/>
        <v>0</v>
      </c>
      <c r="AG69" s="159"/>
      <c r="AH69" s="159"/>
      <c r="AI69" s="142">
        <f t="shared" si="18"/>
        <v>0</v>
      </c>
      <c r="AJ69" s="142">
        <f t="shared" si="19"/>
        <v>0</v>
      </c>
      <c r="AK69" s="159"/>
      <c r="AL69" s="159"/>
      <c r="AM69" s="142">
        <f t="shared" si="20"/>
        <v>0</v>
      </c>
      <c r="AN69" s="142">
        <f t="shared" si="21"/>
        <v>0</v>
      </c>
      <c r="AO69" s="159"/>
      <c r="AP69" s="159"/>
      <c r="AQ69" s="159"/>
      <c r="AR69" s="159"/>
      <c r="AS69" s="169"/>
      <c r="AT69" s="169"/>
      <c r="AU69" s="169"/>
      <c r="AV69" s="169"/>
      <c r="AW69" s="169"/>
    </row>
    <row r="70" spans="1:49" s="42" customFormat="1" ht="32.450000000000003" customHeight="1">
      <c r="A70" s="270">
        <v>60</v>
      </c>
      <c r="B70" s="258"/>
      <c r="C70" s="309"/>
      <c r="D70" s="260"/>
      <c r="E70" s="258"/>
      <c r="F70" s="84">
        <f t="shared" si="22"/>
        <v>0</v>
      </c>
      <c r="G70" s="85">
        <f t="shared" si="23"/>
        <v>0</v>
      </c>
      <c r="H70" s="260"/>
      <c r="I70" s="258"/>
      <c r="J70" s="84">
        <f t="shared" si="24"/>
        <v>0</v>
      </c>
      <c r="K70" s="85">
        <f t="shared" si="25"/>
        <v>0</v>
      </c>
      <c r="L70" s="260"/>
      <c r="M70" s="258"/>
      <c r="N70" s="84">
        <f t="shared" si="26"/>
        <v>0</v>
      </c>
      <c r="O70" s="85">
        <f t="shared" si="27"/>
        <v>0</v>
      </c>
      <c r="P70" s="260"/>
      <c r="Q70" s="258"/>
      <c r="R70" s="84">
        <f t="shared" si="28"/>
        <v>0</v>
      </c>
      <c r="S70" s="85">
        <f t="shared" si="29"/>
        <v>0</v>
      </c>
      <c r="T70" s="201">
        <f t="shared" si="30"/>
        <v>0</v>
      </c>
      <c r="U70" s="205">
        <f t="shared" si="31"/>
        <v>0</v>
      </c>
      <c r="V70" s="223">
        <f t="shared" si="32"/>
        <v>-1</v>
      </c>
      <c r="W70" s="224">
        <f t="shared" si="33"/>
        <v>0</v>
      </c>
      <c r="X70" s="225">
        <f t="shared" si="34"/>
        <v>0</v>
      </c>
      <c r="Y70" s="515">
        <v>60</v>
      </c>
      <c r="Z70" s="61">
        <f t="shared" si="13"/>
        <v>-1</v>
      </c>
      <c r="AA70" s="142">
        <f t="shared" si="14"/>
        <v>0</v>
      </c>
      <c r="AB70" s="142">
        <f t="shared" si="15"/>
        <v>0</v>
      </c>
      <c r="AC70" s="159"/>
      <c r="AD70" s="159"/>
      <c r="AE70" s="142">
        <f t="shared" si="16"/>
        <v>0</v>
      </c>
      <c r="AF70" s="142">
        <f t="shared" si="17"/>
        <v>0</v>
      </c>
      <c r="AG70" s="159"/>
      <c r="AH70" s="159"/>
      <c r="AI70" s="142">
        <f t="shared" si="18"/>
        <v>0</v>
      </c>
      <c r="AJ70" s="142">
        <f t="shared" si="19"/>
        <v>0</v>
      </c>
      <c r="AK70" s="159"/>
      <c r="AL70" s="159"/>
      <c r="AM70" s="142">
        <f t="shared" si="20"/>
        <v>0</v>
      </c>
      <c r="AN70" s="142">
        <f t="shared" si="21"/>
        <v>0</v>
      </c>
      <c r="AO70" s="159"/>
      <c r="AP70" s="159"/>
      <c r="AQ70" s="159"/>
      <c r="AR70" s="159"/>
      <c r="AS70" s="169"/>
      <c r="AT70" s="169"/>
      <c r="AU70" s="169"/>
      <c r="AV70" s="169"/>
      <c r="AW70" s="169"/>
    </row>
    <row r="71" spans="1:49" s="42" customFormat="1" ht="34.15" customHeight="1">
      <c r="A71" s="270">
        <v>61</v>
      </c>
      <c r="B71" s="258"/>
      <c r="C71" s="311"/>
      <c r="D71" s="276"/>
      <c r="E71" s="275"/>
      <c r="F71" s="84">
        <f t="shared" si="22"/>
        <v>0</v>
      </c>
      <c r="G71" s="85">
        <f t="shared" si="23"/>
        <v>0</v>
      </c>
      <c r="H71" s="292"/>
      <c r="I71" s="290"/>
      <c r="J71" s="84">
        <f t="shared" si="24"/>
        <v>0</v>
      </c>
      <c r="K71" s="85">
        <f t="shared" si="25"/>
        <v>0</v>
      </c>
      <c r="L71" s="292"/>
      <c r="M71" s="290"/>
      <c r="N71" s="84">
        <f t="shared" si="26"/>
        <v>0</v>
      </c>
      <c r="O71" s="85">
        <f t="shared" si="27"/>
        <v>0</v>
      </c>
      <c r="P71" s="292"/>
      <c r="Q71" s="290"/>
      <c r="R71" s="84">
        <f t="shared" si="28"/>
        <v>0</v>
      </c>
      <c r="S71" s="85">
        <f t="shared" si="29"/>
        <v>0</v>
      </c>
      <c r="T71" s="201">
        <f t="shared" si="30"/>
        <v>0</v>
      </c>
      <c r="U71" s="205">
        <f t="shared" si="31"/>
        <v>0</v>
      </c>
      <c r="V71" s="223">
        <f t="shared" si="32"/>
        <v>-1</v>
      </c>
      <c r="W71" s="224">
        <f t="shared" si="33"/>
        <v>0</v>
      </c>
      <c r="X71" s="225">
        <f t="shared" si="34"/>
        <v>0</v>
      </c>
      <c r="Y71" s="515">
        <v>61</v>
      </c>
      <c r="Z71" s="61">
        <f t="shared" si="13"/>
        <v>-1</v>
      </c>
      <c r="AA71" s="142">
        <f t="shared" si="14"/>
        <v>0</v>
      </c>
      <c r="AB71" s="142">
        <f t="shared" si="15"/>
        <v>0</v>
      </c>
      <c r="AC71" s="159"/>
      <c r="AD71" s="159"/>
      <c r="AE71" s="142">
        <f t="shared" si="16"/>
        <v>0</v>
      </c>
      <c r="AF71" s="142">
        <f t="shared" si="17"/>
        <v>0</v>
      </c>
      <c r="AG71" s="159"/>
      <c r="AH71" s="159"/>
      <c r="AI71" s="142">
        <f t="shared" si="18"/>
        <v>0</v>
      </c>
      <c r="AJ71" s="142">
        <f t="shared" si="19"/>
        <v>0</v>
      </c>
      <c r="AK71" s="159"/>
      <c r="AL71" s="159"/>
      <c r="AM71" s="142">
        <f t="shared" si="20"/>
        <v>0</v>
      </c>
      <c r="AN71" s="142">
        <f t="shared" si="21"/>
        <v>0</v>
      </c>
      <c r="AO71" s="159"/>
      <c r="AP71" s="159"/>
      <c r="AQ71" s="159"/>
      <c r="AR71" s="159"/>
      <c r="AS71" s="169"/>
      <c r="AT71" s="169"/>
      <c r="AU71" s="169"/>
      <c r="AV71" s="169"/>
      <c r="AW71" s="169"/>
    </row>
    <row r="72" spans="1:49" s="42" customFormat="1" ht="34.15" customHeight="1">
      <c r="A72" s="270">
        <v>62</v>
      </c>
      <c r="B72" s="258"/>
      <c r="C72" s="309"/>
      <c r="D72" s="260"/>
      <c r="E72" s="258"/>
      <c r="F72" s="84">
        <f t="shared" si="22"/>
        <v>0</v>
      </c>
      <c r="G72" s="85">
        <f t="shared" si="23"/>
        <v>0</v>
      </c>
      <c r="H72" s="257"/>
      <c r="I72" s="258"/>
      <c r="J72" s="84">
        <f t="shared" si="24"/>
        <v>0</v>
      </c>
      <c r="K72" s="85">
        <f t="shared" si="25"/>
        <v>0</v>
      </c>
      <c r="L72" s="257"/>
      <c r="M72" s="258"/>
      <c r="N72" s="84">
        <f t="shared" si="26"/>
        <v>0</v>
      </c>
      <c r="O72" s="85">
        <f t="shared" si="27"/>
        <v>0</v>
      </c>
      <c r="P72" s="257"/>
      <c r="Q72" s="258"/>
      <c r="R72" s="84">
        <f t="shared" si="28"/>
        <v>0</v>
      </c>
      <c r="S72" s="85">
        <f t="shared" si="29"/>
        <v>0</v>
      </c>
      <c r="T72" s="201">
        <f t="shared" si="30"/>
        <v>0</v>
      </c>
      <c r="U72" s="205">
        <f t="shared" si="31"/>
        <v>0</v>
      </c>
      <c r="V72" s="223">
        <f t="shared" si="32"/>
        <v>-1</v>
      </c>
      <c r="W72" s="224">
        <f t="shared" si="33"/>
        <v>0</v>
      </c>
      <c r="X72" s="225">
        <f t="shared" si="34"/>
        <v>0</v>
      </c>
      <c r="Y72" s="515">
        <v>62</v>
      </c>
      <c r="Z72" s="61">
        <f t="shared" si="13"/>
        <v>-1</v>
      </c>
      <c r="AA72" s="142">
        <f t="shared" si="14"/>
        <v>0</v>
      </c>
      <c r="AB72" s="142">
        <f t="shared" si="15"/>
        <v>0</v>
      </c>
      <c r="AC72" s="159"/>
      <c r="AD72" s="159"/>
      <c r="AE72" s="142">
        <f t="shared" si="16"/>
        <v>0</v>
      </c>
      <c r="AF72" s="142">
        <f t="shared" si="17"/>
        <v>0</v>
      </c>
      <c r="AG72" s="159"/>
      <c r="AH72" s="159"/>
      <c r="AI72" s="142">
        <f t="shared" si="18"/>
        <v>0</v>
      </c>
      <c r="AJ72" s="142">
        <f t="shared" si="19"/>
        <v>0</v>
      </c>
      <c r="AK72" s="159"/>
      <c r="AL72" s="159"/>
      <c r="AM72" s="142">
        <f t="shared" si="20"/>
        <v>0</v>
      </c>
      <c r="AN72" s="142">
        <f t="shared" si="21"/>
        <v>0</v>
      </c>
      <c r="AO72" s="159"/>
      <c r="AP72" s="159"/>
      <c r="AQ72" s="159"/>
      <c r="AR72" s="159"/>
      <c r="AS72" s="169"/>
      <c r="AT72" s="169"/>
      <c r="AU72" s="169"/>
      <c r="AV72" s="169"/>
      <c r="AW72" s="169"/>
    </row>
    <row r="73" spans="1:49" s="42" customFormat="1" ht="34.15" customHeight="1">
      <c r="A73" s="270">
        <v>63</v>
      </c>
      <c r="B73" s="258"/>
      <c r="C73" s="309"/>
      <c r="D73" s="260"/>
      <c r="E73" s="258"/>
      <c r="F73" s="84">
        <f t="shared" si="22"/>
        <v>0</v>
      </c>
      <c r="G73" s="85">
        <f t="shared" si="23"/>
        <v>0</v>
      </c>
      <c r="H73" s="257"/>
      <c r="I73" s="258"/>
      <c r="J73" s="84">
        <f t="shared" si="24"/>
        <v>0</v>
      </c>
      <c r="K73" s="85">
        <f t="shared" si="25"/>
        <v>0</v>
      </c>
      <c r="L73" s="257"/>
      <c r="M73" s="258"/>
      <c r="N73" s="84">
        <f t="shared" si="26"/>
        <v>0</v>
      </c>
      <c r="O73" s="85">
        <f t="shared" si="27"/>
        <v>0</v>
      </c>
      <c r="P73" s="257"/>
      <c r="Q73" s="258"/>
      <c r="R73" s="84">
        <f t="shared" si="28"/>
        <v>0</v>
      </c>
      <c r="S73" s="85">
        <f t="shared" si="29"/>
        <v>0</v>
      </c>
      <c r="T73" s="201">
        <f t="shared" si="30"/>
        <v>0</v>
      </c>
      <c r="U73" s="205">
        <f t="shared" si="31"/>
        <v>0</v>
      </c>
      <c r="V73" s="223">
        <f t="shared" si="32"/>
        <v>-1</v>
      </c>
      <c r="W73" s="224">
        <f t="shared" si="33"/>
        <v>0</v>
      </c>
      <c r="X73" s="225">
        <f t="shared" si="34"/>
        <v>0</v>
      </c>
      <c r="Y73" s="515">
        <v>63</v>
      </c>
      <c r="Z73" s="61">
        <f t="shared" si="13"/>
        <v>-1</v>
      </c>
      <c r="AA73" s="142">
        <f t="shared" si="14"/>
        <v>0</v>
      </c>
      <c r="AB73" s="142">
        <f t="shared" si="15"/>
        <v>0</v>
      </c>
      <c r="AC73" s="159"/>
      <c r="AD73" s="159"/>
      <c r="AE73" s="142">
        <f t="shared" si="16"/>
        <v>0</v>
      </c>
      <c r="AF73" s="142">
        <f t="shared" si="17"/>
        <v>0</v>
      </c>
      <c r="AG73" s="159"/>
      <c r="AH73" s="159"/>
      <c r="AI73" s="142">
        <f t="shared" si="18"/>
        <v>0</v>
      </c>
      <c r="AJ73" s="142">
        <f t="shared" si="19"/>
        <v>0</v>
      </c>
      <c r="AK73" s="159"/>
      <c r="AL73" s="159"/>
      <c r="AM73" s="142">
        <f t="shared" si="20"/>
        <v>0</v>
      </c>
      <c r="AN73" s="142">
        <f t="shared" si="21"/>
        <v>0</v>
      </c>
      <c r="AO73" s="159"/>
      <c r="AP73" s="159"/>
      <c r="AQ73" s="159"/>
      <c r="AR73" s="159"/>
      <c r="AS73" s="169"/>
      <c r="AT73" s="169"/>
      <c r="AU73" s="169"/>
      <c r="AV73" s="169"/>
      <c r="AW73" s="169"/>
    </row>
    <row r="74" spans="1:49" s="42" customFormat="1" ht="34.15" customHeight="1" thickBot="1">
      <c r="A74" s="272">
        <v>64</v>
      </c>
      <c r="B74" s="259"/>
      <c r="C74" s="312"/>
      <c r="D74" s="264"/>
      <c r="E74" s="259"/>
      <c r="F74" s="86">
        <f t="shared" si="22"/>
        <v>0</v>
      </c>
      <c r="G74" s="87">
        <f t="shared" si="23"/>
        <v>0</v>
      </c>
      <c r="H74" s="264"/>
      <c r="I74" s="259"/>
      <c r="J74" s="86">
        <f t="shared" si="24"/>
        <v>0</v>
      </c>
      <c r="K74" s="87">
        <f t="shared" si="25"/>
        <v>0</v>
      </c>
      <c r="L74" s="264"/>
      <c r="M74" s="259"/>
      <c r="N74" s="86">
        <f t="shared" si="26"/>
        <v>0</v>
      </c>
      <c r="O74" s="87">
        <f t="shared" si="27"/>
        <v>0</v>
      </c>
      <c r="P74" s="264"/>
      <c r="Q74" s="259"/>
      <c r="R74" s="86">
        <f t="shared" si="28"/>
        <v>0</v>
      </c>
      <c r="S74" s="87">
        <f t="shared" si="29"/>
        <v>0</v>
      </c>
      <c r="T74" s="202">
        <f t="shared" si="30"/>
        <v>0</v>
      </c>
      <c r="U74" s="207">
        <f t="shared" si="31"/>
        <v>0</v>
      </c>
      <c r="V74" s="227">
        <f t="shared" si="32"/>
        <v>-1</v>
      </c>
      <c r="W74" s="228">
        <f t="shared" si="33"/>
        <v>0</v>
      </c>
      <c r="X74" s="230">
        <f t="shared" si="34"/>
        <v>0</v>
      </c>
      <c r="Y74" s="516">
        <v>64</v>
      </c>
      <c r="Z74" s="242">
        <f>IF((X74)&lt;0.01,-1,0)</f>
        <v>-1</v>
      </c>
      <c r="AA74" s="142">
        <f t="shared" si="14"/>
        <v>0</v>
      </c>
      <c r="AB74" s="142">
        <f t="shared" si="15"/>
        <v>0</v>
      </c>
      <c r="AC74" s="159"/>
      <c r="AD74" s="159"/>
      <c r="AE74" s="142">
        <f t="shared" si="16"/>
        <v>0</v>
      </c>
      <c r="AF74" s="142">
        <f t="shared" si="17"/>
        <v>0</v>
      </c>
      <c r="AG74" s="159"/>
      <c r="AH74" s="159"/>
      <c r="AI74" s="142">
        <f t="shared" si="18"/>
        <v>0</v>
      </c>
      <c r="AJ74" s="142">
        <f t="shared" si="19"/>
        <v>0</v>
      </c>
      <c r="AK74" s="159"/>
      <c r="AL74" s="159"/>
      <c r="AM74" s="142">
        <f t="shared" si="20"/>
        <v>0</v>
      </c>
      <c r="AN74" s="142">
        <f t="shared" si="21"/>
        <v>0</v>
      </c>
      <c r="AO74" s="159"/>
      <c r="AP74" s="159"/>
      <c r="AQ74" s="159"/>
      <c r="AR74" s="159"/>
      <c r="AS74" s="169"/>
      <c r="AT74" s="169"/>
      <c r="AU74" s="169"/>
      <c r="AV74" s="169"/>
      <c r="AW74" s="169"/>
    </row>
    <row r="75" spans="1:49" s="6" customFormat="1" ht="44.1" customHeight="1" thickTop="1" thickBot="1">
      <c r="A75" s="178" t="s">
        <v>34</v>
      </c>
      <c r="B75" s="179"/>
      <c r="C75" s="180"/>
      <c r="D75" s="181"/>
      <c r="E75" s="181"/>
      <c r="F75" s="182"/>
      <c r="G75" s="336">
        <f>SUM(D11:D74)-SUM(E11:E74)</f>
        <v>0</v>
      </c>
      <c r="H75" s="181"/>
      <c r="I75" s="181"/>
      <c r="J75" s="182"/>
      <c r="K75" s="336">
        <f>SUM(H11:H74)-SUM(I11:I74)</f>
        <v>0</v>
      </c>
      <c r="L75" s="181"/>
      <c r="M75" s="181"/>
      <c r="N75" s="182"/>
      <c r="O75" s="336">
        <f>SUM(L11:L74)-SUM(M11:M74)</f>
        <v>0</v>
      </c>
      <c r="Q75" s="181"/>
      <c r="R75" s="182"/>
      <c r="S75" s="336">
        <f>SUM(P11:P74)-SUM(Q11:Q74)</f>
        <v>0</v>
      </c>
      <c r="T75" s="181"/>
      <c r="U75" s="181"/>
      <c r="V75" s="197"/>
      <c r="W75" s="198"/>
      <c r="X75" s="199"/>
      <c r="Y75" s="64"/>
      <c r="Z75" s="7"/>
      <c r="AA75" s="145"/>
      <c r="AB75" s="145"/>
      <c r="AC75" s="162"/>
      <c r="AD75" s="162"/>
      <c r="AE75" s="145"/>
      <c r="AF75" s="145"/>
      <c r="AG75" s="162"/>
      <c r="AH75" s="162"/>
      <c r="AI75" s="145"/>
      <c r="AJ75" s="145"/>
      <c r="AK75" s="162"/>
      <c r="AL75" s="162"/>
      <c r="AM75" s="145"/>
      <c r="AN75" s="145"/>
      <c r="AO75" s="162"/>
      <c r="AP75" s="162"/>
      <c r="AQ75" s="162"/>
      <c r="AR75" s="162"/>
      <c r="AS75" s="170"/>
      <c r="AT75" s="170"/>
      <c r="AU75" s="170"/>
      <c r="AV75" s="170"/>
      <c r="AW75" s="170"/>
    </row>
    <row r="76" spans="1:49" ht="30.75" thickTop="1">
      <c r="A76" s="8" t="s">
        <v>25</v>
      </c>
      <c r="C76" s="3"/>
      <c r="E76" s="3" t="s">
        <v>16</v>
      </c>
      <c r="F76" s="3"/>
      <c r="G76" s="3"/>
      <c r="I76" s="4" t="s">
        <v>17</v>
      </c>
      <c r="J76" s="4"/>
      <c r="K76" s="4"/>
      <c r="M76" s="4" t="s">
        <v>18</v>
      </c>
      <c r="N76" s="4"/>
      <c r="O76" s="4"/>
      <c r="Q76" s="3" t="s">
        <v>19</v>
      </c>
      <c r="R76" s="3"/>
      <c r="S76" s="3"/>
      <c r="T76" s="3"/>
      <c r="U76" s="3"/>
      <c r="Y76" s="57"/>
      <c r="Z76" s="3"/>
      <c r="AS76" s="159"/>
    </row>
    <row r="77" spans="1:49">
      <c r="J77" s="4"/>
      <c r="K77" s="4"/>
      <c r="L77" s="4"/>
      <c r="M77" s="4"/>
      <c r="N77" s="4"/>
      <c r="O77" s="4"/>
      <c r="P77" s="3"/>
      <c r="Q77" s="3"/>
      <c r="R77" s="3"/>
      <c r="S77" s="3"/>
      <c r="T77" s="3" t="s">
        <v>20</v>
      </c>
      <c r="U77" s="3"/>
      <c r="Y77" s="57"/>
      <c r="Z77" s="3"/>
      <c r="AA77" s="146">
        <f>SUM(AA11:AA74)</f>
        <v>0</v>
      </c>
      <c r="AB77" s="146">
        <f>SUM(AB11:AB74)</f>
        <v>0</v>
      </c>
      <c r="AC77" s="163"/>
      <c r="AE77" s="146">
        <f>SUM(AE11:AE74)</f>
        <v>0</v>
      </c>
      <c r="AF77" s="146">
        <f>SUM(AF11:AF74)</f>
        <v>0</v>
      </c>
      <c r="AG77" s="163"/>
      <c r="AI77" s="146">
        <f>SUM(AI11:AI74)</f>
        <v>0</v>
      </c>
      <c r="AJ77" s="146">
        <f>SUM(AJ11:AJ74)</f>
        <v>0</v>
      </c>
      <c r="AK77" s="163"/>
      <c r="AM77" s="146">
        <f>SUM(AM11:AM74)</f>
        <v>0</v>
      </c>
      <c r="AN77" s="146">
        <f>SUM(AN11:AN74)</f>
        <v>0</v>
      </c>
      <c r="AO77" s="163"/>
      <c r="AS77" s="159"/>
    </row>
    <row r="78" spans="1:49">
      <c r="A78" s="3"/>
      <c r="B78" s="3"/>
      <c r="C78" s="3"/>
      <c r="D78" s="29"/>
      <c r="E78" s="3"/>
      <c r="F78" s="3"/>
      <c r="G78" s="10"/>
      <c r="H78" s="4"/>
      <c r="I78" s="4"/>
      <c r="J78" s="4"/>
      <c r="K78" s="11"/>
      <c r="L78" s="4"/>
      <c r="M78" s="4"/>
      <c r="N78" s="4"/>
      <c r="O78" s="4"/>
      <c r="P78" s="9"/>
      <c r="Q78" s="3"/>
      <c r="R78" s="3"/>
      <c r="S78" s="10"/>
      <c r="T78" s="9"/>
      <c r="U78" s="3"/>
      <c r="Y78" s="57"/>
      <c r="Z78" s="3"/>
      <c r="AE78" s="146"/>
      <c r="AS78" s="159"/>
    </row>
    <row r="79" spans="1:49">
      <c r="A79" s="3"/>
      <c r="D79" s="241">
        <f>+AA79</f>
        <v>0</v>
      </c>
      <c r="E79" s="13">
        <f>+AB79</f>
        <v>0</v>
      </c>
      <c r="F79" s="14"/>
      <c r="G79" s="15"/>
      <c r="H79" s="13">
        <f>+AE79</f>
        <v>0</v>
      </c>
      <c r="I79" s="13">
        <f>+AF79</f>
        <v>0</v>
      </c>
      <c r="J79" s="13"/>
      <c r="K79" s="16"/>
      <c r="L79" s="13">
        <f>+AI79</f>
        <v>0</v>
      </c>
      <c r="M79" s="13">
        <f>+AJ79</f>
        <v>0</v>
      </c>
      <c r="N79" s="17"/>
      <c r="O79" s="17"/>
      <c r="P79" s="12">
        <f>+AM79</f>
        <v>0</v>
      </c>
      <c r="Q79" s="13">
        <f>+AN79</f>
        <v>0</v>
      </c>
      <c r="R79" s="14"/>
      <c r="S79" s="15"/>
      <c r="T79" s="18"/>
      <c r="U79" s="19"/>
      <c r="Z79" s="3"/>
      <c r="AA79" s="146">
        <f>COUNT(AA11:AA74)-COUNTIF(F11:F74,1)/2-COUNTIF(AA11:AA74,0)</f>
        <v>0</v>
      </c>
      <c r="AB79" s="146">
        <f>COUNT(AB11:AB74)-COUNTIF(F11:F74,1)/2-COUNTIF(AB11:AB74,0)</f>
        <v>0</v>
      </c>
      <c r="AC79" s="163"/>
      <c r="AE79" s="146">
        <f>COUNT(AE11:AE74)-COUNTIF(J11:J74,1)/2-COUNTIF(AE11:AE74,0)</f>
        <v>0</v>
      </c>
      <c r="AF79" s="146">
        <f>COUNT(AF11:AF74)-COUNTIF(J11:J74,1)/2-COUNTIF(AF11:AF74,0)</f>
        <v>0</v>
      </c>
      <c r="AG79" s="163"/>
      <c r="AH79" s="163">
        <f>COUNT(AH11:AH74)</f>
        <v>0</v>
      </c>
      <c r="AI79" s="146">
        <f>COUNT(AI11:AI74)-COUNTIF(N11:N74,1)/2-COUNTIF(AI11:AI74,0)</f>
        <v>0</v>
      </c>
      <c r="AJ79" s="146">
        <f>COUNT(AJ11:AJ74)-COUNTIF(N11:N74,1)/2-COUNTIF(AJ11:AJ74,0)</f>
        <v>0</v>
      </c>
      <c r="AK79" s="163"/>
      <c r="AL79" s="163">
        <f>COUNT(AL11:AL74)</f>
        <v>0</v>
      </c>
      <c r="AM79" s="146">
        <f>COUNT(AM11:AM74)-COUNTIF(R11:R74,1)/2-COUNTIF(AM11:AM74,0)</f>
        <v>0</v>
      </c>
      <c r="AN79" s="146">
        <f>COUNT(AN11:AN74)-COUNTIF(R11:R74,1)/2-COUNTIF(AN11:AN74,0)</f>
        <v>0</v>
      </c>
      <c r="AO79" s="163"/>
      <c r="AS79" s="159"/>
    </row>
    <row r="80" spans="1:49">
      <c r="A80" s="20" t="s">
        <v>21</v>
      </c>
      <c r="D80" s="27">
        <f>+SUM(D11:D74)</f>
        <v>0</v>
      </c>
      <c r="E80" s="240"/>
      <c r="F80" s="23"/>
      <c r="G80" s="24"/>
      <c r="H80" s="25">
        <f>+SUM(H11:H74)</f>
        <v>0</v>
      </c>
      <c r="I80" s="26"/>
      <c r="J80" s="27"/>
      <c r="K80" s="28"/>
      <c r="L80" s="25">
        <f>+SUM(L11:L74)</f>
        <v>0</v>
      </c>
      <c r="M80" s="26"/>
      <c r="N80" s="27"/>
      <c r="O80" s="27"/>
      <c r="P80" s="21">
        <f>+SUM(P11:P74)</f>
        <v>0</v>
      </c>
      <c r="Q80" s="22"/>
      <c r="R80" s="23"/>
      <c r="S80" s="24"/>
      <c r="T80" s="21">
        <f>+SUM(T11:T74)</f>
        <v>0</v>
      </c>
      <c r="U80" s="22"/>
      <c r="V80" s="74"/>
      <c r="W80" s="74"/>
      <c r="Z80" s="3"/>
      <c r="AS80" s="159"/>
    </row>
    <row r="81" spans="1:49">
      <c r="A81" s="29" t="s">
        <v>22</v>
      </c>
      <c r="B81" s="244"/>
      <c r="D81" s="240"/>
      <c r="E81" s="26">
        <f>+SUM(E11:E74)</f>
        <v>0</v>
      </c>
      <c r="F81" s="23"/>
      <c r="G81" s="24"/>
      <c r="H81" s="25"/>
      <c r="I81" s="26">
        <f>+SUM(I11:I74)</f>
        <v>0</v>
      </c>
      <c r="J81" s="27"/>
      <c r="K81" s="28"/>
      <c r="L81" s="25"/>
      <c r="M81" s="26">
        <f>+SUM(M11:M74)</f>
        <v>0</v>
      </c>
      <c r="N81" s="27"/>
      <c r="O81" s="27"/>
      <c r="P81" s="30"/>
      <c r="Q81" s="26">
        <f>+SUM(Q11:Q74)</f>
        <v>0</v>
      </c>
      <c r="R81" s="23"/>
      <c r="S81" s="24"/>
      <c r="T81" s="30"/>
      <c r="U81" s="26">
        <f>+SUM(U11:U74)</f>
        <v>0</v>
      </c>
      <c r="V81" s="75"/>
      <c r="W81" s="74"/>
      <c r="X81" s="63"/>
      <c r="Y81" s="63"/>
      <c r="Z81" s="3"/>
      <c r="AS81" s="159"/>
    </row>
    <row r="82" spans="1:49" ht="30.75" thickBot="1">
      <c r="A82" s="29" t="s">
        <v>23</v>
      </c>
      <c r="B82" s="244"/>
      <c r="D82" s="243"/>
      <c r="E82" s="32"/>
      <c r="F82" s="33">
        <f>+SUM(F11:F74)</f>
        <v>0</v>
      </c>
      <c r="G82" s="34"/>
      <c r="H82" s="35"/>
      <c r="I82" s="36"/>
      <c r="J82" s="33">
        <f>+SUM(J11:J74)</f>
        <v>0</v>
      </c>
      <c r="K82" s="37"/>
      <c r="L82" s="35"/>
      <c r="M82" s="36"/>
      <c r="N82" s="33">
        <f>+SUM(N11:N74)</f>
        <v>0</v>
      </c>
      <c r="O82" s="38"/>
      <c r="P82" s="31"/>
      <c r="Q82" s="32"/>
      <c r="R82" s="33">
        <f>+SUM(R11:R74)</f>
        <v>0</v>
      </c>
      <c r="S82" s="34"/>
      <c r="T82" s="31"/>
      <c r="U82" s="32"/>
      <c r="V82" s="76"/>
      <c r="W82" s="76"/>
      <c r="X82" s="65"/>
      <c r="Y82" s="65"/>
      <c r="Z82" s="3"/>
      <c r="AS82" s="159"/>
    </row>
    <row r="83" spans="1:49" ht="26.1" customHeight="1" thickTop="1">
      <c r="A83" s="329" t="s">
        <v>32</v>
      </c>
      <c r="B83" s="245"/>
      <c r="C83" s="245"/>
      <c r="D83" s="327">
        <f>IF(D80=0,0,AA77/AA79)</f>
        <v>0</v>
      </c>
      <c r="E83" s="327">
        <f>IF(E81=0,0,AB77/AB79)</f>
        <v>0</v>
      </c>
      <c r="F83" s="208"/>
      <c r="G83" s="208"/>
      <c r="H83" s="327">
        <f>IF(H80=0,0,AE77/AE79)</f>
        <v>0</v>
      </c>
      <c r="I83" s="327">
        <f>IF(I81=0,0,AF77/AF79)</f>
        <v>0</v>
      </c>
      <c r="J83" s="209"/>
      <c r="K83" s="209"/>
      <c r="L83" s="327">
        <f>IF(L80=0,0,AI77/AI79)</f>
        <v>0</v>
      </c>
      <c r="M83" s="327">
        <f>IF(M81=0,0,AJ77/AJ79)</f>
        <v>0</v>
      </c>
      <c r="N83" s="208"/>
      <c r="O83" s="208"/>
      <c r="P83" s="327">
        <f>IF(P80=0,0,AM77/AM79)</f>
        <v>0</v>
      </c>
      <c r="Q83" s="327">
        <f>IF(Q81=0,0,AN77/AN79)</f>
        <v>0</v>
      </c>
      <c r="R83" s="208"/>
      <c r="S83" s="208"/>
      <c r="T83" s="56"/>
      <c r="U83" s="56"/>
      <c r="Z83" s="3"/>
    </row>
    <row r="84" spans="1:49" ht="21.95" customHeight="1">
      <c r="A84" s="328" t="s">
        <v>187</v>
      </c>
      <c r="B84" s="245"/>
      <c r="C84" s="245"/>
      <c r="D84" s="3"/>
      <c r="E84" s="3"/>
      <c r="F84" s="3"/>
      <c r="G84" s="3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3"/>
      <c r="U84" s="3"/>
      <c r="Z84" s="3"/>
    </row>
    <row r="85" spans="1:49" ht="21.95" customHeight="1">
      <c r="A85" s="328"/>
      <c r="B85" s="245" t="s">
        <v>139</v>
      </c>
      <c r="C85" s="245"/>
      <c r="D85" s="3"/>
      <c r="E85" s="3"/>
      <c r="F85" s="3"/>
      <c r="G85" s="3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3"/>
      <c r="U85" s="3"/>
      <c r="Z85" s="3"/>
    </row>
    <row r="86" spans="1:49" ht="21.95" customHeight="1">
      <c r="A86" s="328"/>
      <c r="B86" s="338" t="s">
        <v>31</v>
      </c>
      <c r="C86" s="245"/>
      <c r="D86" s="3" t="s">
        <v>135</v>
      </c>
      <c r="E86" s="3"/>
      <c r="F86" s="3"/>
      <c r="G86" s="3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3"/>
      <c r="U86" s="3"/>
      <c r="Z86" s="3"/>
    </row>
    <row r="87" spans="1:49" ht="21.95" customHeight="1">
      <c r="A87" s="328"/>
      <c r="B87" s="337" t="s">
        <v>136</v>
      </c>
      <c r="C87" s="245"/>
      <c r="D87" s="3"/>
      <c r="E87" s="3"/>
      <c r="F87" s="3"/>
      <c r="G87" s="3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3"/>
      <c r="U87" s="3"/>
      <c r="Z87" s="3"/>
    </row>
    <row r="88" spans="1:49" ht="21.95" customHeight="1">
      <c r="A88" s="328"/>
      <c r="B88" s="337" t="s">
        <v>256</v>
      </c>
      <c r="C88" s="245"/>
      <c r="D88" s="3"/>
      <c r="E88" s="3"/>
      <c r="F88" s="3"/>
      <c r="G88" s="3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3"/>
      <c r="U88" s="3"/>
      <c r="Z88" s="3"/>
    </row>
    <row r="89" spans="1:49" ht="21.95" customHeight="1">
      <c r="A89" s="328"/>
      <c r="B89" s="337"/>
      <c r="C89" s="245" t="s">
        <v>138</v>
      </c>
      <c r="D89" s="3"/>
      <c r="E89" s="3"/>
      <c r="F89" s="3"/>
      <c r="G89" s="3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3"/>
      <c r="U89" s="3"/>
      <c r="Z89" s="3"/>
    </row>
    <row r="90" spans="1:49" ht="21.95" customHeight="1">
      <c r="A90" s="328"/>
      <c r="B90" s="487"/>
      <c r="C90" s="487" t="s">
        <v>188</v>
      </c>
      <c r="D90" s="39"/>
      <c r="E90" s="39"/>
      <c r="F90" s="39"/>
      <c r="G90" s="40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39"/>
      <c r="U90" s="39"/>
      <c r="Z90" s="39"/>
    </row>
    <row r="91" spans="1:49" ht="26.25" customHeight="1">
      <c r="A91" s="330"/>
      <c r="B91" s="488"/>
      <c r="C91" s="489" t="s">
        <v>137</v>
      </c>
      <c r="D91" s="331"/>
      <c r="E91" s="331"/>
      <c r="F91" s="331"/>
      <c r="G91" s="331"/>
      <c r="H91" s="332"/>
      <c r="I91" s="332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39"/>
      <c r="U91" s="39"/>
      <c r="Z91" s="39"/>
    </row>
    <row r="92" spans="1:49" s="328" customFormat="1" ht="27.75">
      <c r="C92" s="337" t="s">
        <v>140</v>
      </c>
      <c r="H92" s="333"/>
      <c r="I92" s="333"/>
      <c r="J92" s="333"/>
      <c r="K92" s="333"/>
      <c r="L92" s="333"/>
      <c r="M92" s="333"/>
      <c r="N92" s="333"/>
      <c r="O92" s="333"/>
      <c r="P92" s="333"/>
      <c r="Q92" s="333"/>
      <c r="R92" s="333"/>
      <c r="S92" s="333"/>
      <c r="V92" s="334"/>
      <c r="W92" s="334"/>
      <c r="X92" s="334"/>
      <c r="Y92" s="334"/>
      <c r="AC92" s="335"/>
      <c r="AD92" s="335"/>
      <c r="AG92" s="335"/>
      <c r="AH92" s="335"/>
      <c r="AK92" s="335"/>
      <c r="AL92" s="335"/>
      <c r="AO92" s="335"/>
      <c r="AP92" s="335"/>
      <c r="AQ92" s="335"/>
      <c r="AR92" s="335"/>
      <c r="AS92" s="335"/>
      <c r="AT92" s="335"/>
      <c r="AU92" s="335"/>
      <c r="AV92" s="335"/>
      <c r="AW92" s="335"/>
    </row>
    <row r="93" spans="1:49" s="328" customFormat="1" ht="28.5" thickBot="1">
      <c r="C93" s="337" t="s">
        <v>141</v>
      </c>
      <c r="H93" s="333"/>
      <c r="I93" s="333"/>
      <c r="J93" s="333"/>
      <c r="K93" s="333"/>
      <c r="L93" s="333"/>
      <c r="M93" s="333"/>
      <c r="N93" s="333"/>
      <c r="O93" s="333"/>
      <c r="P93" s="333"/>
      <c r="Q93" s="333"/>
      <c r="R93" s="333"/>
      <c r="S93" s="333"/>
      <c r="V93" s="334"/>
      <c r="W93" s="334"/>
      <c r="X93" s="334"/>
      <c r="Y93" s="334"/>
      <c r="AC93" s="335"/>
      <c r="AD93" s="335"/>
      <c r="AG93" s="335"/>
      <c r="AH93" s="335"/>
      <c r="AK93" s="335"/>
      <c r="AL93" s="335"/>
      <c r="AO93" s="335"/>
      <c r="AP93" s="335"/>
      <c r="AQ93" s="335"/>
      <c r="AR93" s="335"/>
      <c r="AS93" s="335"/>
      <c r="AT93" s="335"/>
      <c r="AU93" s="335"/>
      <c r="AV93" s="335"/>
      <c r="AW93" s="335"/>
    </row>
    <row r="94" spans="1:49" s="42" customFormat="1" ht="34.5">
      <c r="B94" s="5">
        <v>1</v>
      </c>
      <c r="C94" s="433" t="s">
        <v>53</v>
      </c>
      <c r="D94" s="299">
        <v>64</v>
      </c>
      <c r="E94" s="296">
        <v>1</v>
      </c>
      <c r="F94" s="278"/>
      <c r="G94" s="280"/>
      <c r="H94" s="299">
        <v>64</v>
      </c>
      <c r="I94" s="296">
        <v>1</v>
      </c>
      <c r="J94" s="274"/>
      <c r="K94" s="274"/>
      <c r="L94" s="299">
        <v>64</v>
      </c>
      <c r="M94" s="296">
        <v>1</v>
      </c>
      <c r="N94" s="274"/>
      <c r="O94" s="274"/>
      <c r="P94" s="299">
        <v>64</v>
      </c>
      <c r="Q94" s="296">
        <v>1</v>
      </c>
      <c r="R94" s="278"/>
      <c r="S94" s="280"/>
      <c r="T94" s="43"/>
      <c r="U94" s="46"/>
      <c r="V94" s="77"/>
      <c r="W94" s="77"/>
      <c r="X94" s="66"/>
      <c r="Y94" s="67"/>
      <c r="Z94" s="44"/>
      <c r="AA94" s="145"/>
      <c r="AB94" s="147"/>
      <c r="AC94" s="171"/>
      <c r="AD94" s="159"/>
      <c r="AE94" s="142"/>
      <c r="AF94" s="142"/>
      <c r="AG94" s="159"/>
      <c r="AH94" s="159"/>
      <c r="AI94" s="142"/>
      <c r="AJ94" s="142"/>
      <c r="AK94" s="159"/>
      <c r="AL94" s="159"/>
      <c r="AM94" s="142"/>
      <c r="AN94" s="142"/>
      <c r="AO94" s="159"/>
      <c r="AP94" s="159"/>
      <c r="AQ94" s="159"/>
      <c r="AR94" s="159"/>
      <c r="AS94" s="169"/>
      <c r="AT94" s="169"/>
      <c r="AU94" s="169"/>
      <c r="AV94" s="169"/>
      <c r="AW94" s="169"/>
    </row>
    <row r="95" spans="1:49" s="42" customFormat="1" ht="34.5">
      <c r="B95" s="192">
        <v>2</v>
      </c>
      <c r="C95" s="434" t="s">
        <v>54</v>
      </c>
      <c r="D95" s="300">
        <v>63</v>
      </c>
      <c r="E95" s="297">
        <v>2</v>
      </c>
      <c r="F95" s="47"/>
      <c r="G95" s="281"/>
      <c r="H95" s="300">
        <v>63</v>
      </c>
      <c r="I95" s="297">
        <v>2</v>
      </c>
      <c r="J95" s="43"/>
      <c r="K95" s="43"/>
      <c r="L95" s="300">
        <v>63</v>
      </c>
      <c r="M95" s="297">
        <v>2</v>
      </c>
      <c r="N95" s="43"/>
      <c r="O95" s="43"/>
      <c r="P95" s="300">
        <v>63</v>
      </c>
      <c r="Q95" s="297">
        <v>2</v>
      </c>
      <c r="R95" s="47"/>
      <c r="S95" s="281"/>
      <c r="T95" s="43"/>
      <c r="U95" s="43"/>
      <c r="V95" s="77"/>
      <c r="W95" s="77"/>
      <c r="X95" s="66"/>
      <c r="Y95" s="68"/>
      <c r="Z95" s="44"/>
      <c r="AA95" s="145"/>
      <c r="AB95" s="147"/>
      <c r="AC95" s="172"/>
      <c r="AD95" s="159"/>
      <c r="AE95" s="142"/>
      <c r="AF95" s="142"/>
      <c r="AG95" s="159"/>
      <c r="AH95" s="159"/>
      <c r="AI95" s="142"/>
      <c r="AJ95" s="142"/>
      <c r="AK95" s="159"/>
      <c r="AL95" s="159"/>
      <c r="AM95" s="142"/>
      <c r="AN95" s="142"/>
      <c r="AO95" s="159"/>
      <c r="AP95" s="159"/>
      <c r="AQ95" s="159"/>
      <c r="AR95" s="159"/>
      <c r="AS95" s="169"/>
      <c r="AT95" s="169"/>
      <c r="AU95" s="169"/>
      <c r="AV95" s="169"/>
      <c r="AW95" s="169"/>
    </row>
    <row r="96" spans="1:49" s="42" customFormat="1" ht="34.5">
      <c r="B96" s="5">
        <v>3</v>
      </c>
      <c r="C96" s="434" t="s">
        <v>55</v>
      </c>
      <c r="D96" s="300">
        <v>62</v>
      </c>
      <c r="E96" s="297">
        <v>3</v>
      </c>
      <c r="F96" s="47"/>
      <c r="G96" s="281"/>
      <c r="H96" s="300">
        <v>62</v>
      </c>
      <c r="I96" s="297">
        <v>3</v>
      </c>
      <c r="J96" s="43"/>
      <c r="K96" s="43"/>
      <c r="L96" s="300">
        <v>62</v>
      </c>
      <c r="M96" s="297">
        <v>3</v>
      </c>
      <c r="N96" s="43"/>
      <c r="O96" s="43"/>
      <c r="P96" s="300">
        <v>62</v>
      </c>
      <c r="Q96" s="297">
        <v>3</v>
      </c>
      <c r="R96" s="47"/>
      <c r="S96" s="281"/>
      <c r="T96" s="43"/>
      <c r="U96" s="46"/>
      <c r="V96" s="77"/>
      <c r="W96" s="77"/>
      <c r="X96" s="66"/>
      <c r="Y96" s="67"/>
      <c r="Z96" s="44"/>
      <c r="AA96" s="145"/>
      <c r="AB96" s="147"/>
      <c r="AC96" s="171"/>
      <c r="AD96" s="159"/>
      <c r="AE96" s="142"/>
      <c r="AF96" s="142"/>
      <c r="AG96" s="159"/>
      <c r="AH96" s="159"/>
      <c r="AI96" s="142"/>
      <c r="AJ96" s="142"/>
      <c r="AK96" s="159"/>
      <c r="AL96" s="159"/>
      <c r="AM96" s="142"/>
      <c r="AN96" s="142"/>
      <c r="AO96" s="159"/>
      <c r="AP96" s="159"/>
      <c r="AQ96" s="159"/>
      <c r="AR96" s="159"/>
      <c r="AS96" s="169"/>
      <c r="AT96" s="169"/>
      <c r="AU96" s="169"/>
      <c r="AV96" s="169"/>
      <c r="AW96" s="169"/>
    </row>
    <row r="97" spans="2:49" s="42" customFormat="1" ht="34.5">
      <c r="B97" s="192">
        <v>4</v>
      </c>
      <c r="C97" s="434" t="s">
        <v>56</v>
      </c>
      <c r="D97" s="300">
        <v>61</v>
      </c>
      <c r="E97" s="297">
        <v>4</v>
      </c>
      <c r="F97" s="47"/>
      <c r="G97" s="281"/>
      <c r="H97" s="300">
        <v>61</v>
      </c>
      <c r="I97" s="297">
        <v>4</v>
      </c>
      <c r="J97" s="43"/>
      <c r="K97" s="43"/>
      <c r="L97" s="300">
        <v>61</v>
      </c>
      <c r="M97" s="297">
        <v>4</v>
      </c>
      <c r="N97" s="43"/>
      <c r="O97" s="43"/>
      <c r="P97" s="300">
        <v>61</v>
      </c>
      <c r="Q97" s="297">
        <v>4</v>
      </c>
      <c r="R97" s="47"/>
      <c r="S97" s="281"/>
      <c r="T97" s="43"/>
      <c r="U97" s="46"/>
      <c r="V97" s="77"/>
      <c r="W97" s="77"/>
      <c r="X97" s="66"/>
      <c r="Y97" s="67"/>
      <c r="Z97" s="44"/>
      <c r="AA97" s="145"/>
      <c r="AB97" s="147"/>
      <c r="AC97" s="171"/>
      <c r="AD97" s="159"/>
      <c r="AE97" s="142"/>
      <c r="AF97" s="142"/>
      <c r="AG97" s="159"/>
      <c r="AH97" s="159"/>
      <c r="AI97" s="142"/>
      <c r="AJ97" s="142"/>
      <c r="AK97" s="159"/>
      <c r="AL97" s="159"/>
      <c r="AM97" s="142"/>
      <c r="AN97" s="142"/>
      <c r="AO97" s="159"/>
      <c r="AP97" s="159"/>
      <c r="AQ97" s="159"/>
      <c r="AR97" s="159"/>
      <c r="AS97" s="169"/>
      <c r="AT97" s="169"/>
      <c r="AU97" s="169"/>
      <c r="AV97" s="169"/>
      <c r="AW97" s="169"/>
    </row>
    <row r="98" spans="2:49" s="42" customFormat="1" ht="34.5">
      <c r="B98" s="192">
        <v>5</v>
      </c>
      <c r="C98" s="434" t="s">
        <v>57</v>
      </c>
      <c r="D98" s="300">
        <v>60</v>
      </c>
      <c r="E98" s="297">
        <v>5</v>
      </c>
      <c r="F98" s="47"/>
      <c r="G98" s="281"/>
      <c r="H98" s="300">
        <v>60</v>
      </c>
      <c r="I98" s="297">
        <v>5</v>
      </c>
      <c r="J98" s="43"/>
      <c r="K98" s="43"/>
      <c r="L98" s="300">
        <v>60</v>
      </c>
      <c r="M98" s="297">
        <v>5</v>
      </c>
      <c r="N98" s="43"/>
      <c r="O98" s="43"/>
      <c r="P98" s="300">
        <v>60</v>
      </c>
      <c r="Q98" s="297">
        <v>5</v>
      </c>
      <c r="R98" s="47"/>
      <c r="S98" s="281"/>
      <c r="T98" s="43"/>
      <c r="U98" s="46"/>
      <c r="V98" s="77"/>
      <c r="W98" s="77"/>
      <c r="X98" s="66"/>
      <c r="Y98" s="67"/>
      <c r="Z98" s="44"/>
      <c r="AA98" s="145"/>
      <c r="AB98" s="147"/>
      <c r="AC98" s="171"/>
      <c r="AD98" s="159"/>
      <c r="AE98" s="142"/>
      <c r="AF98" s="142"/>
      <c r="AG98" s="159"/>
      <c r="AH98" s="159"/>
      <c r="AI98" s="142"/>
      <c r="AJ98" s="142"/>
      <c r="AK98" s="159"/>
      <c r="AL98" s="159"/>
      <c r="AM98" s="142"/>
      <c r="AN98" s="142"/>
      <c r="AO98" s="159"/>
      <c r="AP98" s="159"/>
      <c r="AQ98" s="159"/>
      <c r="AR98" s="159"/>
      <c r="AS98" s="169"/>
      <c r="AT98" s="169"/>
      <c r="AU98" s="169"/>
      <c r="AV98" s="169"/>
      <c r="AW98" s="169"/>
    </row>
    <row r="99" spans="2:49" s="42" customFormat="1" ht="34.5">
      <c r="B99" s="5">
        <v>6</v>
      </c>
      <c r="C99" s="434" t="s">
        <v>58</v>
      </c>
      <c r="D99" s="300">
        <v>59</v>
      </c>
      <c r="E99" s="297">
        <v>6</v>
      </c>
      <c r="F99" s="47"/>
      <c r="G99" s="281"/>
      <c r="H99" s="300">
        <v>59</v>
      </c>
      <c r="I99" s="297">
        <v>6</v>
      </c>
      <c r="J99" s="43"/>
      <c r="K99" s="43"/>
      <c r="L99" s="300">
        <v>59</v>
      </c>
      <c r="M99" s="297">
        <v>6</v>
      </c>
      <c r="N99" s="43"/>
      <c r="O99" s="43"/>
      <c r="P99" s="300">
        <v>59</v>
      </c>
      <c r="Q99" s="297">
        <v>6</v>
      </c>
      <c r="R99" s="47"/>
      <c r="S99" s="281"/>
      <c r="T99" s="43"/>
      <c r="U99" s="46"/>
      <c r="V99" s="77"/>
      <c r="W99" s="77"/>
      <c r="X99" s="66"/>
      <c r="Y99" s="67"/>
      <c r="Z99" s="44"/>
      <c r="AA99" s="145"/>
      <c r="AB99" s="147"/>
      <c r="AC99" s="171"/>
      <c r="AD99" s="159"/>
      <c r="AE99" s="142"/>
      <c r="AF99" s="142"/>
      <c r="AG99" s="159"/>
      <c r="AH99" s="159"/>
      <c r="AI99" s="142"/>
      <c r="AJ99" s="142"/>
      <c r="AK99" s="159"/>
      <c r="AL99" s="159"/>
      <c r="AM99" s="142"/>
      <c r="AN99" s="142"/>
      <c r="AO99" s="159"/>
      <c r="AP99" s="159"/>
      <c r="AQ99" s="159"/>
      <c r="AR99" s="159"/>
      <c r="AS99" s="169"/>
      <c r="AT99" s="169"/>
      <c r="AU99" s="169"/>
      <c r="AV99" s="169"/>
      <c r="AW99" s="169"/>
    </row>
    <row r="100" spans="2:49" s="42" customFormat="1" ht="34.5">
      <c r="B100" s="192">
        <v>7</v>
      </c>
      <c r="C100" s="434" t="s">
        <v>59</v>
      </c>
      <c r="D100" s="300">
        <v>58</v>
      </c>
      <c r="E100" s="297">
        <v>7</v>
      </c>
      <c r="F100" s="47"/>
      <c r="G100" s="281"/>
      <c r="H100" s="300">
        <v>58</v>
      </c>
      <c r="I100" s="297">
        <v>7</v>
      </c>
      <c r="J100" s="43"/>
      <c r="K100" s="43"/>
      <c r="L100" s="300">
        <v>58</v>
      </c>
      <c r="M100" s="297">
        <v>7</v>
      </c>
      <c r="N100" s="43"/>
      <c r="O100" s="43"/>
      <c r="P100" s="300">
        <v>58</v>
      </c>
      <c r="Q100" s="297">
        <v>7</v>
      </c>
      <c r="R100" s="47"/>
      <c r="S100" s="281"/>
      <c r="T100" s="43"/>
      <c r="U100" s="43"/>
      <c r="V100" s="77"/>
      <c r="W100" s="77"/>
      <c r="X100" s="66"/>
      <c r="Y100" s="68"/>
      <c r="Z100" s="44"/>
      <c r="AA100" s="145"/>
      <c r="AB100" s="147"/>
      <c r="AC100" s="172"/>
      <c r="AD100" s="159"/>
      <c r="AE100" s="142"/>
      <c r="AF100" s="142"/>
      <c r="AG100" s="159"/>
      <c r="AH100" s="159"/>
      <c r="AI100" s="142"/>
      <c r="AJ100" s="142"/>
      <c r="AK100" s="159"/>
      <c r="AL100" s="159"/>
      <c r="AM100" s="142"/>
      <c r="AN100" s="142"/>
      <c r="AO100" s="159"/>
      <c r="AP100" s="159"/>
      <c r="AQ100" s="159"/>
      <c r="AR100" s="159"/>
      <c r="AS100" s="169"/>
      <c r="AT100" s="169"/>
      <c r="AU100" s="169"/>
      <c r="AV100" s="169"/>
      <c r="AW100" s="169"/>
    </row>
    <row r="101" spans="2:49" s="42" customFormat="1" ht="35.25" thickBot="1">
      <c r="B101" s="192">
        <v>8</v>
      </c>
      <c r="C101" s="435" t="s">
        <v>60</v>
      </c>
      <c r="D101" s="279">
        <v>57</v>
      </c>
      <c r="E101" s="298">
        <v>8</v>
      </c>
      <c r="F101" s="282"/>
      <c r="G101" s="284"/>
      <c r="H101" s="279">
        <v>57</v>
      </c>
      <c r="I101" s="298">
        <v>8</v>
      </c>
      <c r="J101" s="283"/>
      <c r="K101" s="283"/>
      <c r="L101" s="279">
        <v>57</v>
      </c>
      <c r="M101" s="298">
        <v>8</v>
      </c>
      <c r="N101" s="283"/>
      <c r="O101" s="283"/>
      <c r="P101" s="279">
        <v>57</v>
      </c>
      <c r="Q101" s="298">
        <v>8</v>
      </c>
      <c r="R101" s="282"/>
      <c r="S101" s="284"/>
      <c r="T101" s="43"/>
      <c r="U101" s="43"/>
      <c r="V101" s="77"/>
      <c r="W101" s="77"/>
      <c r="X101" s="66"/>
      <c r="Y101" s="68"/>
      <c r="Z101" s="44"/>
      <c r="AA101" s="145"/>
      <c r="AB101" s="147"/>
      <c r="AC101" s="172"/>
      <c r="AD101" s="159"/>
      <c r="AE101" s="142"/>
      <c r="AF101" s="142"/>
      <c r="AG101" s="159"/>
      <c r="AH101" s="159"/>
      <c r="AI101" s="142"/>
      <c r="AJ101" s="142"/>
      <c r="AK101" s="159"/>
      <c r="AL101" s="159"/>
      <c r="AM101" s="142"/>
      <c r="AN101" s="142"/>
      <c r="AO101" s="159"/>
      <c r="AP101" s="159"/>
      <c r="AQ101" s="159"/>
      <c r="AR101" s="159"/>
      <c r="AS101" s="169"/>
      <c r="AT101" s="169"/>
      <c r="AU101" s="169"/>
      <c r="AV101" s="169"/>
      <c r="AW101" s="169"/>
    </row>
    <row r="102" spans="2:49" s="42" customFormat="1" ht="35.25" thickTop="1">
      <c r="B102" s="217">
        <v>9</v>
      </c>
      <c r="C102" s="433" t="s">
        <v>27</v>
      </c>
      <c r="D102" s="299">
        <v>56</v>
      </c>
      <c r="E102" s="296">
        <v>9</v>
      </c>
      <c r="F102" s="278"/>
      <c r="G102" s="280"/>
      <c r="H102" s="299">
        <v>56</v>
      </c>
      <c r="I102" s="296">
        <v>9</v>
      </c>
      <c r="J102" s="274"/>
      <c r="K102" s="274"/>
      <c r="L102" s="299">
        <v>56</v>
      </c>
      <c r="M102" s="296">
        <v>9</v>
      </c>
      <c r="N102" s="274"/>
      <c r="O102" s="274"/>
      <c r="P102" s="299">
        <v>56</v>
      </c>
      <c r="Q102" s="296">
        <v>9</v>
      </c>
      <c r="R102" s="278"/>
      <c r="S102" s="280"/>
      <c r="T102" s="48"/>
      <c r="U102" s="48"/>
      <c r="V102" s="78"/>
      <c r="W102" s="78"/>
      <c r="X102" s="69"/>
      <c r="Y102" s="64"/>
      <c r="Z102" s="50"/>
      <c r="AA102" s="148"/>
      <c r="AB102" s="149"/>
      <c r="AC102" s="173"/>
      <c r="AD102" s="159"/>
      <c r="AE102" s="142"/>
      <c r="AF102" s="142"/>
      <c r="AG102" s="159"/>
      <c r="AH102" s="159"/>
      <c r="AI102" s="142"/>
      <c r="AJ102" s="142"/>
      <c r="AK102" s="159"/>
      <c r="AL102" s="159"/>
      <c r="AM102" s="142"/>
      <c r="AN102" s="142"/>
      <c r="AO102" s="159"/>
      <c r="AP102" s="159"/>
      <c r="AQ102" s="159"/>
      <c r="AR102" s="159"/>
      <c r="AS102" s="169"/>
      <c r="AT102" s="169"/>
      <c r="AU102" s="169"/>
      <c r="AV102" s="169"/>
      <c r="AW102" s="169"/>
    </row>
    <row r="103" spans="2:49" s="42" customFormat="1" ht="34.5">
      <c r="B103" s="5">
        <v>10</v>
      </c>
      <c r="C103" s="434" t="s">
        <v>61</v>
      </c>
      <c r="D103" s="300">
        <v>55</v>
      </c>
      <c r="E103" s="297">
        <v>10</v>
      </c>
      <c r="F103" s="47"/>
      <c r="G103" s="281"/>
      <c r="H103" s="300">
        <v>55</v>
      </c>
      <c r="I103" s="297">
        <v>10</v>
      </c>
      <c r="J103" s="43"/>
      <c r="K103" s="43"/>
      <c r="L103" s="300">
        <v>55</v>
      </c>
      <c r="M103" s="297">
        <v>10</v>
      </c>
      <c r="N103" s="43"/>
      <c r="O103" s="43"/>
      <c r="P103" s="300">
        <v>55</v>
      </c>
      <c r="Q103" s="297">
        <v>10</v>
      </c>
      <c r="R103" s="47"/>
      <c r="S103" s="281"/>
      <c r="T103" s="43"/>
      <c r="U103" s="43"/>
      <c r="V103" s="79"/>
      <c r="W103" s="79"/>
      <c r="X103" s="66"/>
      <c r="Y103" s="68"/>
      <c r="Z103" s="47"/>
      <c r="AA103" s="150"/>
      <c r="AB103" s="147"/>
      <c r="AC103" s="172"/>
      <c r="AD103" s="159"/>
      <c r="AE103" s="142"/>
      <c r="AF103" s="142"/>
      <c r="AG103" s="159"/>
      <c r="AH103" s="159"/>
      <c r="AI103" s="142"/>
      <c r="AJ103" s="142"/>
      <c r="AK103" s="159"/>
      <c r="AL103" s="159"/>
      <c r="AM103" s="142"/>
      <c r="AN103" s="142"/>
      <c r="AO103" s="159"/>
      <c r="AP103" s="159"/>
      <c r="AQ103" s="159"/>
      <c r="AR103" s="159"/>
      <c r="AS103" s="169"/>
      <c r="AT103" s="169"/>
      <c r="AU103" s="169"/>
      <c r="AV103" s="169"/>
      <c r="AW103" s="169"/>
    </row>
    <row r="104" spans="2:49" s="42" customFormat="1" ht="34.5">
      <c r="B104" s="192">
        <v>11</v>
      </c>
      <c r="C104" s="434" t="s">
        <v>62</v>
      </c>
      <c r="D104" s="300">
        <v>54</v>
      </c>
      <c r="E104" s="297">
        <v>11</v>
      </c>
      <c r="F104" s="47"/>
      <c r="G104" s="281"/>
      <c r="H104" s="300">
        <v>54</v>
      </c>
      <c r="I104" s="297">
        <v>11</v>
      </c>
      <c r="J104" s="43"/>
      <c r="K104" s="43"/>
      <c r="L104" s="300">
        <v>54</v>
      </c>
      <c r="M104" s="297">
        <v>11</v>
      </c>
      <c r="N104" s="43"/>
      <c r="O104" s="43"/>
      <c r="P104" s="300">
        <v>54</v>
      </c>
      <c r="Q104" s="297">
        <v>11</v>
      </c>
      <c r="R104" s="47"/>
      <c r="S104" s="281"/>
      <c r="T104" s="43"/>
      <c r="U104" s="43"/>
      <c r="V104" s="79"/>
      <c r="W104" s="79"/>
      <c r="X104" s="66"/>
      <c r="Y104" s="68"/>
      <c r="Z104" s="47"/>
      <c r="AA104" s="150"/>
      <c r="AB104" s="147"/>
      <c r="AC104" s="172"/>
      <c r="AD104" s="159"/>
      <c r="AE104" s="142"/>
      <c r="AF104" s="142"/>
      <c r="AG104" s="159"/>
      <c r="AH104" s="159"/>
      <c r="AI104" s="142"/>
      <c r="AJ104" s="142"/>
      <c r="AK104" s="159"/>
      <c r="AL104" s="159"/>
      <c r="AM104" s="142"/>
      <c r="AN104" s="142"/>
      <c r="AO104" s="159"/>
      <c r="AP104" s="159"/>
      <c r="AQ104" s="159"/>
      <c r="AR104" s="159"/>
      <c r="AS104" s="169"/>
      <c r="AT104" s="169"/>
      <c r="AU104" s="169"/>
      <c r="AV104" s="169"/>
      <c r="AW104" s="169"/>
    </row>
    <row r="105" spans="2:49" s="42" customFormat="1" ht="34.5">
      <c r="B105" s="192">
        <v>12</v>
      </c>
      <c r="C105" s="434" t="s">
        <v>63</v>
      </c>
      <c r="D105" s="300">
        <v>53</v>
      </c>
      <c r="E105" s="297">
        <v>12</v>
      </c>
      <c r="F105" s="47"/>
      <c r="G105" s="281"/>
      <c r="H105" s="300">
        <v>53</v>
      </c>
      <c r="I105" s="297">
        <v>12</v>
      </c>
      <c r="J105" s="43"/>
      <c r="K105" s="43"/>
      <c r="L105" s="300">
        <v>53</v>
      </c>
      <c r="M105" s="297">
        <v>12</v>
      </c>
      <c r="N105" s="43"/>
      <c r="O105" s="43"/>
      <c r="P105" s="300">
        <v>53</v>
      </c>
      <c r="Q105" s="297">
        <v>12</v>
      </c>
      <c r="R105" s="47"/>
      <c r="S105" s="281"/>
      <c r="T105" s="43"/>
      <c r="U105" s="43"/>
      <c r="V105" s="79"/>
      <c r="W105" s="79"/>
      <c r="X105" s="66"/>
      <c r="Y105" s="68"/>
      <c r="Z105" s="47"/>
      <c r="AA105" s="150"/>
      <c r="AB105" s="147"/>
      <c r="AC105" s="172"/>
      <c r="AD105" s="159"/>
      <c r="AE105" s="142"/>
      <c r="AF105" s="142"/>
      <c r="AG105" s="159"/>
      <c r="AH105" s="159"/>
      <c r="AI105" s="142"/>
      <c r="AJ105" s="142"/>
      <c r="AK105" s="159"/>
      <c r="AL105" s="159"/>
      <c r="AM105" s="142"/>
      <c r="AN105" s="142"/>
      <c r="AO105" s="159"/>
      <c r="AP105" s="159"/>
      <c r="AQ105" s="159"/>
      <c r="AR105" s="159"/>
      <c r="AS105" s="169"/>
      <c r="AT105" s="169"/>
      <c r="AU105" s="169"/>
      <c r="AV105" s="169"/>
      <c r="AW105" s="169"/>
    </row>
    <row r="106" spans="2:49" s="42" customFormat="1" ht="34.5">
      <c r="B106" s="192">
        <v>13</v>
      </c>
      <c r="C106" s="434" t="s">
        <v>64</v>
      </c>
      <c r="D106" s="300">
        <v>52</v>
      </c>
      <c r="E106" s="297">
        <v>13</v>
      </c>
      <c r="F106" s="47"/>
      <c r="G106" s="281"/>
      <c r="H106" s="300">
        <v>52</v>
      </c>
      <c r="I106" s="297">
        <v>13</v>
      </c>
      <c r="J106" s="43"/>
      <c r="K106" s="43"/>
      <c r="L106" s="300">
        <v>52</v>
      </c>
      <c r="M106" s="297">
        <v>13</v>
      </c>
      <c r="N106" s="43"/>
      <c r="O106" s="43"/>
      <c r="P106" s="300">
        <v>52</v>
      </c>
      <c r="Q106" s="297">
        <v>13</v>
      </c>
      <c r="R106" s="47"/>
      <c r="S106" s="281"/>
      <c r="T106" s="43"/>
      <c r="U106" s="43"/>
      <c r="V106" s="79"/>
      <c r="W106" s="79"/>
      <c r="X106" s="66"/>
      <c r="Y106" s="68"/>
      <c r="Z106" s="47"/>
      <c r="AA106" s="150"/>
      <c r="AB106" s="147"/>
      <c r="AC106" s="172"/>
      <c r="AD106" s="159"/>
      <c r="AE106" s="142"/>
      <c r="AF106" s="142"/>
      <c r="AG106" s="159"/>
      <c r="AH106" s="159"/>
      <c r="AI106" s="142"/>
      <c r="AJ106" s="142"/>
      <c r="AK106" s="159"/>
      <c r="AL106" s="159"/>
      <c r="AM106" s="142"/>
      <c r="AN106" s="142"/>
      <c r="AO106" s="159"/>
      <c r="AP106" s="159"/>
      <c r="AQ106" s="159"/>
      <c r="AR106" s="159"/>
      <c r="AS106" s="169"/>
      <c r="AT106" s="169"/>
      <c r="AU106" s="169"/>
      <c r="AV106" s="169"/>
      <c r="AW106" s="169"/>
    </row>
    <row r="107" spans="2:49" s="42" customFormat="1" ht="34.5">
      <c r="B107" s="192">
        <v>14</v>
      </c>
      <c r="C107" s="434" t="s">
        <v>65</v>
      </c>
      <c r="D107" s="300">
        <v>51</v>
      </c>
      <c r="E107" s="297">
        <v>14</v>
      </c>
      <c r="F107" s="47"/>
      <c r="G107" s="281"/>
      <c r="H107" s="300">
        <v>51</v>
      </c>
      <c r="I107" s="297">
        <v>14</v>
      </c>
      <c r="J107" s="43"/>
      <c r="K107" s="43"/>
      <c r="L107" s="300">
        <v>51</v>
      </c>
      <c r="M107" s="297">
        <v>14</v>
      </c>
      <c r="N107" s="43"/>
      <c r="O107" s="43"/>
      <c r="P107" s="300">
        <v>51</v>
      </c>
      <c r="Q107" s="297">
        <v>14</v>
      </c>
      <c r="R107" s="47"/>
      <c r="S107" s="281"/>
      <c r="T107" s="43"/>
      <c r="U107" s="43"/>
      <c r="V107" s="79"/>
      <c r="W107" s="79"/>
      <c r="X107" s="66"/>
      <c r="Y107" s="68"/>
      <c r="Z107" s="47"/>
      <c r="AA107" s="150"/>
      <c r="AB107" s="147"/>
      <c r="AC107" s="172"/>
      <c r="AD107" s="159"/>
      <c r="AE107" s="142"/>
      <c r="AF107" s="142"/>
      <c r="AG107" s="159"/>
      <c r="AH107" s="159"/>
      <c r="AI107" s="142"/>
      <c r="AJ107" s="142"/>
      <c r="AK107" s="159"/>
      <c r="AL107" s="159"/>
      <c r="AM107" s="142"/>
      <c r="AN107" s="142"/>
      <c r="AO107" s="159"/>
      <c r="AP107" s="159"/>
      <c r="AQ107" s="159"/>
      <c r="AR107" s="159"/>
      <c r="AS107" s="169"/>
      <c r="AT107" s="169"/>
      <c r="AU107" s="169"/>
      <c r="AV107" s="169"/>
      <c r="AW107" s="169"/>
    </row>
    <row r="108" spans="2:49" s="42" customFormat="1" ht="34.5">
      <c r="B108" s="192">
        <v>15</v>
      </c>
      <c r="C108" s="434" t="s">
        <v>66</v>
      </c>
      <c r="D108" s="300">
        <v>50</v>
      </c>
      <c r="E108" s="297">
        <v>15</v>
      </c>
      <c r="F108" s="47"/>
      <c r="G108" s="281"/>
      <c r="H108" s="300">
        <v>50</v>
      </c>
      <c r="I108" s="297">
        <v>15</v>
      </c>
      <c r="J108" s="43"/>
      <c r="K108" s="43"/>
      <c r="L108" s="300">
        <v>50</v>
      </c>
      <c r="M108" s="297">
        <v>15</v>
      </c>
      <c r="N108" s="43"/>
      <c r="O108" s="43"/>
      <c r="P108" s="300">
        <v>50</v>
      </c>
      <c r="Q108" s="297">
        <v>15</v>
      </c>
      <c r="R108" s="47"/>
      <c r="S108" s="281"/>
      <c r="T108" s="43"/>
      <c r="U108" s="43"/>
      <c r="V108" s="79"/>
      <c r="W108" s="79"/>
      <c r="X108" s="66"/>
      <c r="Y108" s="68"/>
      <c r="Z108" s="47"/>
      <c r="AA108" s="150"/>
      <c r="AB108" s="147"/>
      <c r="AC108" s="172"/>
      <c r="AD108" s="159"/>
      <c r="AE108" s="142"/>
      <c r="AF108" s="142"/>
      <c r="AG108" s="159"/>
      <c r="AH108" s="159"/>
      <c r="AI108" s="142"/>
      <c r="AJ108" s="142"/>
      <c r="AK108" s="159"/>
      <c r="AL108" s="159"/>
      <c r="AM108" s="142"/>
      <c r="AN108" s="142"/>
      <c r="AO108" s="159"/>
      <c r="AP108" s="159"/>
      <c r="AQ108" s="159"/>
      <c r="AR108" s="159"/>
      <c r="AS108" s="169"/>
      <c r="AT108" s="169"/>
      <c r="AU108" s="169"/>
      <c r="AV108" s="169"/>
      <c r="AW108" s="169"/>
    </row>
    <row r="109" spans="2:49" s="42" customFormat="1" ht="35.25" thickBot="1">
      <c r="B109" s="218">
        <v>16</v>
      </c>
      <c r="C109" s="436" t="s">
        <v>67</v>
      </c>
      <c r="D109" s="279">
        <v>49</v>
      </c>
      <c r="E109" s="298">
        <v>16</v>
      </c>
      <c r="F109" s="282"/>
      <c r="G109" s="284"/>
      <c r="H109" s="279">
        <v>49</v>
      </c>
      <c r="I109" s="298">
        <v>16</v>
      </c>
      <c r="J109" s="283"/>
      <c r="K109" s="283"/>
      <c r="L109" s="279">
        <v>49</v>
      </c>
      <c r="M109" s="298">
        <v>16</v>
      </c>
      <c r="N109" s="283"/>
      <c r="O109" s="283"/>
      <c r="P109" s="279">
        <v>49</v>
      </c>
      <c r="Q109" s="298">
        <v>16</v>
      </c>
      <c r="R109" s="282"/>
      <c r="S109" s="284"/>
      <c r="T109" s="51"/>
      <c r="U109" s="51"/>
      <c r="V109" s="80"/>
      <c r="W109" s="80"/>
      <c r="X109" s="71"/>
      <c r="Y109" s="72"/>
      <c r="Z109" s="52"/>
      <c r="AA109" s="151"/>
      <c r="AB109" s="152"/>
      <c r="AC109" s="174"/>
      <c r="AD109" s="159"/>
      <c r="AE109" s="142"/>
      <c r="AF109" s="142"/>
      <c r="AG109" s="159"/>
      <c r="AH109" s="159"/>
      <c r="AI109" s="142"/>
      <c r="AJ109" s="142"/>
      <c r="AK109" s="159"/>
      <c r="AL109" s="159"/>
      <c r="AM109" s="142"/>
      <c r="AN109" s="142"/>
      <c r="AO109" s="159"/>
      <c r="AP109" s="159"/>
      <c r="AQ109" s="159"/>
      <c r="AR109" s="159"/>
      <c r="AS109" s="169"/>
      <c r="AT109" s="169"/>
      <c r="AU109" s="169"/>
      <c r="AV109" s="169"/>
      <c r="AW109" s="169"/>
    </row>
    <row r="110" spans="2:49" s="42" customFormat="1" ht="35.25" thickTop="1">
      <c r="B110" s="192">
        <v>17</v>
      </c>
      <c r="C110" s="437" t="s">
        <v>68</v>
      </c>
      <c r="D110" s="299">
        <v>48</v>
      </c>
      <c r="E110" s="296">
        <v>17</v>
      </c>
      <c r="F110" s="278"/>
      <c r="G110" s="280"/>
      <c r="H110" s="299">
        <v>48</v>
      </c>
      <c r="I110" s="296">
        <v>17</v>
      </c>
      <c r="J110" s="274"/>
      <c r="K110" s="274"/>
      <c r="L110" s="299">
        <v>48</v>
      </c>
      <c r="M110" s="296">
        <v>17</v>
      </c>
      <c r="N110" s="274"/>
      <c r="O110" s="274"/>
      <c r="P110" s="299">
        <v>48</v>
      </c>
      <c r="Q110" s="296">
        <v>17</v>
      </c>
      <c r="R110" s="278"/>
      <c r="S110" s="280"/>
      <c r="T110" s="43"/>
      <c r="U110" s="46"/>
      <c r="V110" s="77"/>
      <c r="W110" s="77"/>
      <c r="X110" s="66"/>
      <c r="Y110" s="67"/>
      <c r="Z110" s="44"/>
      <c r="AA110" s="145"/>
      <c r="AB110" s="147"/>
      <c r="AC110" s="171"/>
      <c r="AD110" s="159"/>
      <c r="AE110" s="142"/>
      <c r="AF110" s="142"/>
      <c r="AG110" s="159"/>
      <c r="AH110" s="159"/>
      <c r="AI110" s="142"/>
      <c r="AJ110" s="142"/>
      <c r="AK110" s="159"/>
      <c r="AL110" s="159"/>
      <c r="AM110" s="142"/>
      <c r="AN110" s="142"/>
      <c r="AO110" s="159"/>
      <c r="AP110" s="159"/>
      <c r="AQ110" s="159"/>
      <c r="AR110" s="159"/>
      <c r="AS110" s="169"/>
      <c r="AT110" s="169"/>
      <c r="AU110" s="169"/>
      <c r="AV110" s="169"/>
      <c r="AW110" s="169"/>
    </row>
    <row r="111" spans="2:49" s="42" customFormat="1" ht="34.5">
      <c r="B111" s="5">
        <v>18</v>
      </c>
      <c r="C111" s="438" t="s">
        <v>69</v>
      </c>
      <c r="D111" s="300">
        <v>47</v>
      </c>
      <c r="E111" s="297">
        <v>18</v>
      </c>
      <c r="F111" s="47"/>
      <c r="G111" s="281"/>
      <c r="H111" s="300">
        <v>47</v>
      </c>
      <c r="I111" s="297">
        <v>18</v>
      </c>
      <c r="J111" s="43"/>
      <c r="K111" s="43"/>
      <c r="L111" s="300">
        <v>47</v>
      </c>
      <c r="M111" s="297">
        <v>18</v>
      </c>
      <c r="N111" s="43"/>
      <c r="O111" s="43"/>
      <c r="P111" s="300">
        <v>47</v>
      </c>
      <c r="Q111" s="297">
        <v>18</v>
      </c>
      <c r="R111" s="47"/>
      <c r="S111" s="281"/>
      <c r="T111" s="43"/>
      <c r="U111" s="46"/>
      <c r="V111" s="77"/>
      <c r="W111" s="77"/>
      <c r="X111" s="66"/>
      <c r="Y111" s="67"/>
      <c r="Z111" s="44"/>
      <c r="AA111" s="145"/>
      <c r="AB111" s="147"/>
      <c r="AC111" s="171"/>
      <c r="AD111" s="159"/>
      <c r="AE111" s="142"/>
      <c r="AF111" s="142"/>
      <c r="AG111" s="159"/>
      <c r="AH111" s="159"/>
      <c r="AI111" s="142"/>
      <c r="AJ111" s="142"/>
      <c r="AK111" s="159"/>
      <c r="AL111" s="159"/>
      <c r="AM111" s="142"/>
      <c r="AN111" s="142"/>
      <c r="AO111" s="159"/>
      <c r="AP111" s="159"/>
      <c r="AQ111" s="159"/>
      <c r="AR111" s="159"/>
      <c r="AS111" s="169"/>
      <c r="AT111" s="169"/>
      <c r="AU111" s="169"/>
      <c r="AV111" s="169"/>
      <c r="AW111" s="169"/>
    </row>
    <row r="112" spans="2:49" s="42" customFormat="1" ht="34.5">
      <c r="B112" s="5">
        <v>19</v>
      </c>
      <c r="C112" s="438" t="s">
        <v>70</v>
      </c>
      <c r="D112" s="300">
        <v>46</v>
      </c>
      <c r="E112" s="297">
        <v>19</v>
      </c>
      <c r="F112" s="47"/>
      <c r="G112" s="281"/>
      <c r="H112" s="300">
        <v>46</v>
      </c>
      <c r="I112" s="297">
        <v>19</v>
      </c>
      <c r="J112" s="43"/>
      <c r="K112" s="43"/>
      <c r="L112" s="300">
        <v>46</v>
      </c>
      <c r="M112" s="297">
        <v>19</v>
      </c>
      <c r="N112" s="43"/>
      <c r="O112" s="43"/>
      <c r="P112" s="300">
        <v>46</v>
      </c>
      <c r="Q112" s="297">
        <v>19</v>
      </c>
      <c r="R112" s="47"/>
      <c r="S112" s="281"/>
      <c r="T112" s="43"/>
      <c r="U112" s="46"/>
      <c r="V112" s="77"/>
      <c r="W112" s="77"/>
      <c r="X112" s="66"/>
      <c r="Y112" s="67"/>
      <c r="Z112" s="44"/>
      <c r="AA112" s="145"/>
      <c r="AB112" s="147"/>
      <c r="AC112" s="171"/>
      <c r="AD112" s="159"/>
      <c r="AE112" s="142"/>
      <c r="AF112" s="142"/>
      <c r="AG112" s="159"/>
      <c r="AH112" s="159"/>
      <c r="AI112" s="142"/>
      <c r="AJ112" s="142"/>
      <c r="AK112" s="159"/>
      <c r="AL112" s="159"/>
      <c r="AM112" s="142"/>
      <c r="AN112" s="142"/>
      <c r="AO112" s="159"/>
      <c r="AP112" s="159"/>
      <c r="AQ112" s="159"/>
      <c r="AR112" s="159"/>
      <c r="AS112" s="169"/>
      <c r="AT112" s="169"/>
      <c r="AU112" s="169"/>
      <c r="AV112" s="169"/>
      <c r="AW112" s="169"/>
    </row>
    <row r="113" spans="2:49" s="42" customFormat="1" ht="34.5">
      <c r="B113" s="5">
        <v>20</v>
      </c>
      <c r="C113" s="438" t="s">
        <v>71</v>
      </c>
      <c r="D113" s="300">
        <v>45</v>
      </c>
      <c r="E113" s="297">
        <v>20</v>
      </c>
      <c r="F113" s="47"/>
      <c r="G113" s="281"/>
      <c r="H113" s="300">
        <v>45</v>
      </c>
      <c r="I113" s="297">
        <v>20</v>
      </c>
      <c r="J113" s="43"/>
      <c r="K113" s="43"/>
      <c r="L113" s="300">
        <v>45</v>
      </c>
      <c r="M113" s="297">
        <v>20</v>
      </c>
      <c r="N113" s="43"/>
      <c r="O113" s="43"/>
      <c r="P113" s="300">
        <v>45</v>
      </c>
      <c r="Q113" s="297">
        <v>20</v>
      </c>
      <c r="R113" s="47"/>
      <c r="S113" s="281"/>
      <c r="T113" s="43"/>
      <c r="U113" s="46"/>
      <c r="V113" s="77"/>
      <c r="W113" s="77"/>
      <c r="X113" s="66"/>
      <c r="Y113" s="67"/>
      <c r="Z113" s="44"/>
      <c r="AA113" s="145"/>
      <c r="AB113" s="147"/>
      <c r="AC113" s="171"/>
      <c r="AD113" s="159"/>
      <c r="AE113" s="142"/>
      <c r="AF113" s="142"/>
      <c r="AG113" s="159"/>
      <c r="AH113" s="159"/>
      <c r="AI113" s="142"/>
      <c r="AJ113" s="142"/>
      <c r="AK113" s="159"/>
      <c r="AL113" s="159"/>
      <c r="AM113" s="142"/>
      <c r="AN113" s="142"/>
      <c r="AO113" s="159"/>
      <c r="AP113" s="159"/>
      <c r="AQ113" s="159"/>
      <c r="AR113" s="159"/>
      <c r="AS113" s="169"/>
      <c r="AT113" s="169"/>
      <c r="AU113" s="169"/>
      <c r="AV113" s="169"/>
      <c r="AW113" s="169"/>
    </row>
    <row r="114" spans="2:49" s="42" customFormat="1" ht="34.5">
      <c r="B114" s="5">
        <v>21</v>
      </c>
      <c r="C114" s="438" t="s">
        <v>72</v>
      </c>
      <c r="D114" s="300">
        <v>44</v>
      </c>
      <c r="E114" s="297">
        <v>21</v>
      </c>
      <c r="F114" s="47"/>
      <c r="G114" s="281"/>
      <c r="H114" s="300">
        <v>44</v>
      </c>
      <c r="I114" s="297">
        <v>21</v>
      </c>
      <c r="J114" s="43"/>
      <c r="K114" s="43"/>
      <c r="L114" s="300">
        <v>44</v>
      </c>
      <c r="M114" s="297">
        <v>21</v>
      </c>
      <c r="N114" s="43"/>
      <c r="O114" s="43"/>
      <c r="P114" s="300">
        <v>44</v>
      </c>
      <c r="Q114" s="297">
        <v>21</v>
      </c>
      <c r="R114" s="47"/>
      <c r="S114" s="281"/>
      <c r="T114" s="43"/>
      <c r="U114" s="43"/>
      <c r="V114" s="77"/>
      <c r="W114" s="77"/>
      <c r="X114" s="66"/>
      <c r="Y114" s="68"/>
      <c r="Z114" s="44"/>
      <c r="AA114" s="145"/>
      <c r="AB114" s="147"/>
      <c r="AC114" s="172"/>
      <c r="AD114" s="159"/>
      <c r="AE114" s="142"/>
      <c r="AF114" s="142"/>
      <c r="AG114" s="159"/>
      <c r="AH114" s="159"/>
      <c r="AI114" s="142"/>
      <c r="AJ114" s="142"/>
      <c r="AK114" s="159"/>
      <c r="AL114" s="159"/>
      <c r="AM114" s="142"/>
      <c r="AN114" s="142"/>
      <c r="AO114" s="159"/>
      <c r="AP114" s="159"/>
      <c r="AQ114" s="159"/>
      <c r="AR114" s="159"/>
      <c r="AS114" s="169"/>
      <c r="AT114" s="169"/>
      <c r="AU114" s="169"/>
      <c r="AV114" s="169"/>
      <c r="AW114" s="169"/>
    </row>
    <row r="115" spans="2:49" s="42" customFormat="1" ht="34.5">
      <c r="B115" s="5">
        <v>22</v>
      </c>
      <c r="C115" s="438" t="s">
        <v>73</v>
      </c>
      <c r="D115" s="300">
        <v>43</v>
      </c>
      <c r="E115" s="297">
        <v>22</v>
      </c>
      <c r="F115" s="47"/>
      <c r="G115" s="281"/>
      <c r="H115" s="300">
        <v>43</v>
      </c>
      <c r="I115" s="297">
        <v>22</v>
      </c>
      <c r="J115" s="43"/>
      <c r="K115" s="43"/>
      <c r="L115" s="300">
        <v>43</v>
      </c>
      <c r="M115" s="297">
        <v>22</v>
      </c>
      <c r="N115" s="43"/>
      <c r="O115" s="43"/>
      <c r="P115" s="300">
        <v>43</v>
      </c>
      <c r="Q115" s="297">
        <v>22</v>
      </c>
      <c r="R115" s="47"/>
      <c r="S115" s="281"/>
      <c r="T115" s="43"/>
      <c r="U115" s="46"/>
      <c r="V115" s="77"/>
      <c r="W115" s="77"/>
      <c r="X115" s="66"/>
      <c r="Y115" s="67"/>
      <c r="Z115" s="44"/>
      <c r="AA115" s="145"/>
      <c r="AB115" s="147"/>
      <c r="AC115" s="171"/>
      <c r="AD115" s="159"/>
      <c r="AE115" s="142"/>
      <c r="AF115" s="142"/>
      <c r="AG115" s="159"/>
      <c r="AH115" s="159"/>
      <c r="AI115" s="142"/>
      <c r="AJ115" s="142"/>
      <c r="AK115" s="159"/>
      <c r="AL115" s="159"/>
      <c r="AM115" s="142"/>
      <c r="AN115" s="142"/>
      <c r="AO115" s="159"/>
      <c r="AP115" s="159"/>
      <c r="AQ115" s="159"/>
      <c r="AR115" s="159"/>
      <c r="AS115" s="169"/>
      <c r="AT115" s="169"/>
      <c r="AU115" s="169"/>
      <c r="AV115" s="169"/>
      <c r="AW115" s="169"/>
    </row>
    <row r="116" spans="2:49" s="42" customFormat="1" ht="34.5">
      <c r="B116" s="5">
        <v>23</v>
      </c>
      <c r="C116" s="438" t="s">
        <v>74</v>
      </c>
      <c r="D116" s="300">
        <v>42</v>
      </c>
      <c r="E116" s="297">
        <v>23</v>
      </c>
      <c r="F116" s="47"/>
      <c r="G116" s="281"/>
      <c r="H116" s="300">
        <v>42</v>
      </c>
      <c r="I116" s="297">
        <v>23</v>
      </c>
      <c r="J116" s="43"/>
      <c r="K116" s="43"/>
      <c r="L116" s="300">
        <v>42</v>
      </c>
      <c r="M116" s="297">
        <v>23</v>
      </c>
      <c r="N116" s="43"/>
      <c r="O116" s="43"/>
      <c r="P116" s="300">
        <v>42</v>
      </c>
      <c r="Q116" s="297">
        <v>23</v>
      </c>
      <c r="R116" s="47"/>
      <c r="S116" s="281"/>
      <c r="T116" s="43"/>
      <c r="U116" s="46"/>
      <c r="V116" s="77"/>
      <c r="W116" s="77"/>
      <c r="X116" s="66"/>
      <c r="Y116" s="67"/>
      <c r="Z116" s="44"/>
      <c r="AA116" s="145"/>
      <c r="AB116" s="147"/>
      <c r="AC116" s="171"/>
      <c r="AD116" s="159"/>
      <c r="AE116" s="142"/>
      <c r="AF116" s="142"/>
      <c r="AG116" s="159"/>
      <c r="AH116" s="159"/>
      <c r="AI116" s="142"/>
      <c r="AJ116" s="142"/>
      <c r="AK116" s="159"/>
      <c r="AL116" s="159"/>
      <c r="AM116" s="142"/>
      <c r="AN116" s="142"/>
      <c r="AO116" s="159"/>
      <c r="AP116" s="159"/>
      <c r="AQ116" s="159"/>
      <c r="AR116" s="159"/>
      <c r="AS116" s="169"/>
      <c r="AT116" s="169"/>
      <c r="AU116" s="169"/>
      <c r="AV116" s="169"/>
      <c r="AW116" s="169"/>
    </row>
    <row r="117" spans="2:49" s="42" customFormat="1" ht="35.25" thickBot="1">
      <c r="B117" s="218">
        <v>24</v>
      </c>
      <c r="C117" s="439" t="s">
        <v>75</v>
      </c>
      <c r="D117" s="279">
        <v>41</v>
      </c>
      <c r="E117" s="298">
        <v>24</v>
      </c>
      <c r="F117" s="282"/>
      <c r="G117" s="284"/>
      <c r="H117" s="279">
        <v>41</v>
      </c>
      <c r="I117" s="298">
        <v>24</v>
      </c>
      <c r="J117" s="283"/>
      <c r="K117" s="283"/>
      <c r="L117" s="279">
        <v>41</v>
      </c>
      <c r="M117" s="298">
        <v>24</v>
      </c>
      <c r="N117" s="283"/>
      <c r="O117" s="283"/>
      <c r="P117" s="279">
        <v>41</v>
      </c>
      <c r="Q117" s="298">
        <v>24</v>
      </c>
      <c r="R117" s="282"/>
      <c r="S117" s="284"/>
      <c r="T117" s="43"/>
      <c r="U117" s="43"/>
      <c r="V117" s="77"/>
      <c r="W117" s="77"/>
      <c r="X117" s="66"/>
      <c r="Y117" s="68"/>
      <c r="Z117" s="44"/>
      <c r="AA117" s="145"/>
      <c r="AB117" s="147"/>
      <c r="AC117" s="172"/>
      <c r="AD117" s="159"/>
      <c r="AE117" s="142"/>
      <c r="AF117" s="142"/>
      <c r="AG117" s="159"/>
      <c r="AH117" s="159"/>
      <c r="AI117" s="142"/>
      <c r="AJ117" s="142"/>
      <c r="AK117" s="159"/>
      <c r="AL117" s="159"/>
      <c r="AM117" s="142"/>
      <c r="AN117" s="142"/>
      <c r="AO117" s="159"/>
      <c r="AP117" s="159"/>
      <c r="AQ117" s="159"/>
      <c r="AR117" s="159"/>
      <c r="AS117" s="169"/>
      <c r="AT117" s="169"/>
      <c r="AU117" s="169"/>
      <c r="AV117" s="169"/>
      <c r="AW117" s="169"/>
    </row>
    <row r="118" spans="2:49" s="42" customFormat="1" ht="35.25" thickTop="1">
      <c r="B118" s="192">
        <v>25</v>
      </c>
      <c r="C118" s="440" t="s">
        <v>76</v>
      </c>
      <c r="D118" s="299">
        <v>40</v>
      </c>
      <c r="E118" s="296">
        <v>25</v>
      </c>
      <c r="F118" s="278"/>
      <c r="G118" s="280"/>
      <c r="H118" s="299">
        <v>40</v>
      </c>
      <c r="I118" s="296">
        <v>25</v>
      </c>
      <c r="J118" s="274"/>
      <c r="K118" s="274"/>
      <c r="L118" s="299">
        <v>40</v>
      </c>
      <c r="M118" s="296">
        <v>25</v>
      </c>
      <c r="N118" s="274"/>
      <c r="O118" s="274"/>
      <c r="P118" s="299">
        <v>40</v>
      </c>
      <c r="Q118" s="296">
        <v>25</v>
      </c>
      <c r="R118" s="278"/>
      <c r="S118" s="280"/>
      <c r="T118" s="48"/>
      <c r="U118" s="48"/>
      <c r="V118" s="78"/>
      <c r="W118" s="78"/>
      <c r="X118" s="69"/>
      <c r="Y118" s="64"/>
      <c r="Z118" s="50"/>
      <c r="AA118" s="148"/>
      <c r="AB118" s="149"/>
      <c r="AC118" s="173"/>
      <c r="AD118" s="159"/>
      <c r="AE118" s="142"/>
      <c r="AF118" s="142"/>
      <c r="AG118" s="159"/>
      <c r="AH118" s="159"/>
      <c r="AI118" s="142"/>
      <c r="AJ118" s="142"/>
      <c r="AK118" s="159"/>
      <c r="AL118" s="159"/>
      <c r="AM118" s="142"/>
      <c r="AN118" s="142"/>
      <c r="AO118" s="159"/>
      <c r="AP118" s="159"/>
      <c r="AQ118" s="159"/>
      <c r="AR118" s="159"/>
      <c r="AS118" s="169"/>
      <c r="AT118" s="169"/>
      <c r="AU118" s="169"/>
      <c r="AV118" s="169"/>
      <c r="AW118" s="169"/>
    </row>
    <row r="119" spans="2:49" s="42" customFormat="1" ht="34.5">
      <c r="B119" s="192">
        <v>26</v>
      </c>
      <c r="C119" s="438" t="s">
        <v>77</v>
      </c>
      <c r="D119" s="300">
        <v>39</v>
      </c>
      <c r="E119" s="297">
        <v>26</v>
      </c>
      <c r="F119" s="47"/>
      <c r="G119" s="281"/>
      <c r="H119" s="300">
        <v>39</v>
      </c>
      <c r="I119" s="297">
        <v>26</v>
      </c>
      <c r="J119" s="43"/>
      <c r="K119" s="43"/>
      <c r="L119" s="300">
        <v>39</v>
      </c>
      <c r="M119" s="297">
        <v>26</v>
      </c>
      <c r="N119" s="43"/>
      <c r="O119" s="43"/>
      <c r="P119" s="300">
        <v>39</v>
      </c>
      <c r="Q119" s="297">
        <v>26</v>
      </c>
      <c r="R119" s="47"/>
      <c r="S119" s="281"/>
      <c r="T119" s="43"/>
      <c r="U119" s="43"/>
      <c r="V119" s="79"/>
      <c r="W119" s="79"/>
      <c r="X119" s="66"/>
      <c r="Y119" s="68"/>
      <c r="Z119" s="47"/>
      <c r="AA119" s="150"/>
      <c r="AB119" s="147"/>
      <c r="AC119" s="172"/>
      <c r="AD119" s="159"/>
      <c r="AE119" s="142"/>
      <c r="AF119" s="142"/>
      <c r="AG119" s="159"/>
      <c r="AH119" s="159"/>
      <c r="AI119" s="142"/>
      <c r="AJ119" s="142"/>
      <c r="AK119" s="159"/>
      <c r="AL119" s="159"/>
      <c r="AM119" s="142"/>
      <c r="AN119" s="142"/>
      <c r="AO119" s="159"/>
      <c r="AP119" s="159"/>
      <c r="AQ119" s="159"/>
      <c r="AR119" s="159"/>
      <c r="AS119" s="169"/>
      <c r="AT119" s="169"/>
      <c r="AU119" s="169"/>
      <c r="AV119" s="169"/>
      <c r="AW119" s="169"/>
    </row>
    <row r="120" spans="2:49" s="42" customFormat="1" ht="34.5">
      <c r="B120" s="192">
        <v>27</v>
      </c>
      <c r="C120" s="438" t="s">
        <v>78</v>
      </c>
      <c r="D120" s="300">
        <v>38</v>
      </c>
      <c r="E120" s="297">
        <v>27</v>
      </c>
      <c r="F120" s="47"/>
      <c r="G120" s="281"/>
      <c r="H120" s="300">
        <v>38</v>
      </c>
      <c r="I120" s="297">
        <v>27</v>
      </c>
      <c r="J120" s="43"/>
      <c r="K120" s="43"/>
      <c r="L120" s="300">
        <v>38</v>
      </c>
      <c r="M120" s="297">
        <v>27</v>
      </c>
      <c r="N120" s="43"/>
      <c r="O120" s="43"/>
      <c r="P120" s="300">
        <v>38</v>
      </c>
      <c r="Q120" s="297">
        <v>27</v>
      </c>
      <c r="R120" s="47"/>
      <c r="S120" s="281"/>
      <c r="T120" s="43"/>
      <c r="U120" s="43"/>
      <c r="V120" s="79"/>
      <c r="W120" s="79"/>
      <c r="X120" s="66"/>
      <c r="Y120" s="68"/>
      <c r="Z120" s="47"/>
      <c r="AA120" s="150"/>
      <c r="AB120" s="147"/>
      <c r="AC120" s="172"/>
      <c r="AD120" s="159"/>
      <c r="AE120" s="142"/>
      <c r="AF120" s="142"/>
      <c r="AG120" s="159"/>
      <c r="AH120" s="159"/>
      <c r="AI120" s="142"/>
      <c r="AJ120" s="142"/>
      <c r="AK120" s="159"/>
      <c r="AL120" s="159"/>
      <c r="AM120" s="142"/>
      <c r="AN120" s="142"/>
      <c r="AO120" s="159"/>
      <c r="AP120" s="159"/>
      <c r="AQ120" s="159"/>
      <c r="AR120" s="159"/>
      <c r="AS120" s="169"/>
      <c r="AT120" s="169"/>
      <c r="AU120" s="169"/>
      <c r="AV120" s="169"/>
      <c r="AW120" s="169"/>
    </row>
    <row r="121" spans="2:49" s="42" customFormat="1" ht="34.5">
      <c r="B121" s="5">
        <v>28</v>
      </c>
      <c r="C121" s="438" t="s">
        <v>79</v>
      </c>
      <c r="D121" s="300">
        <v>37</v>
      </c>
      <c r="E121" s="297">
        <v>28</v>
      </c>
      <c r="F121" s="47"/>
      <c r="G121" s="281"/>
      <c r="H121" s="300">
        <v>37</v>
      </c>
      <c r="I121" s="297">
        <v>28</v>
      </c>
      <c r="J121" s="43"/>
      <c r="K121" s="43"/>
      <c r="L121" s="300">
        <v>37</v>
      </c>
      <c r="M121" s="297">
        <v>28</v>
      </c>
      <c r="N121" s="43"/>
      <c r="O121" s="43"/>
      <c r="P121" s="300">
        <v>37</v>
      </c>
      <c r="Q121" s="297">
        <v>28</v>
      </c>
      <c r="R121" s="47"/>
      <c r="S121" s="281"/>
      <c r="T121" s="43"/>
      <c r="U121" s="43"/>
      <c r="V121" s="79"/>
      <c r="W121" s="79"/>
      <c r="X121" s="66"/>
      <c r="Y121" s="68"/>
      <c r="Z121" s="47"/>
      <c r="AA121" s="150"/>
      <c r="AB121" s="147"/>
      <c r="AC121" s="172"/>
      <c r="AD121" s="159"/>
      <c r="AE121" s="142"/>
      <c r="AF121" s="142"/>
      <c r="AG121" s="159"/>
      <c r="AH121" s="159"/>
      <c r="AI121" s="142"/>
      <c r="AJ121" s="142"/>
      <c r="AK121" s="159"/>
      <c r="AL121" s="159"/>
      <c r="AM121" s="142"/>
      <c r="AN121" s="142"/>
      <c r="AO121" s="159"/>
      <c r="AP121" s="159"/>
      <c r="AQ121" s="159"/>
      <c r="AR121" s="159"/>
      <c r="AS121" s="169"/>
      <c r="AT121" s="169"/>
      <c r="AU121" s="169"/>
      <c r="AV121" s="169"/>
      <c r="AW121" s="169"/>
    </row>
    <row r="122" spans="2:49" s="42" customFormat="1" ht="34.5">
      <c r="B122" s="192">
        <v>29</v>
      </c>
      <c r="C122" s="441" t="s">
        <v>80</v>
      </c>
      <c r="D122" s="300">
        <v>36</v>
      </c>
      <c r="E122" s="297">
        <v>29</v>
      </c>
      <c r="F122" s="47"/>
      <c r="G122" s="281"/>
      <c r="H122" s="300">
        <v>36</v>
      </c>
      <c r="I122" s="297">
        <v>29</v>
      </c>
      <c r="J122" s="43"/>
      <c r="K122" s="43"/>
      <c r="L122" s="300">
        <v>36</v>
      </c>
      <c r="M122" s="297">
        <v>29</v>
      </c>
      <c r="N122" s="43"/>
      <c r="O122" s="43"/>
      <c r="P122" s="300">
        <v>36</v>
      </c>
      <c r="Q122" s="297">
        <v>29</v>
      </c>
      <c r="R122" s="47"/>
      <c r="S122" s="281"/>
      <c r="T122" s="43"/>
      <c r="U122" s="43"/>
      <c r="V122" s="79"/>
      <c r="W122" s="79"/>
      <c r="X122" s="66"/>
      <c r="Y122" s="68"/>
      <c r="Z122" s="47"/>
      <c r="AA122" s="150"/>
      <c r="AB122" s="147"/>
      <c r="AC122" s="172"/>
      <c r="AD122" s="159"/>
      <c r="AE122" s="142"/>
      <c r="AF122" s="142"/>
      <c r="AG122" s="159"/>
      <c r="AH122" s="159"/>
      <c r="AI122" s="142"/>
      <c r="AJ122" s="142"/>
      <c r="AK122" s="159"/>
      <c r="AL122" s="159"/>
      <c r="AM122" s="142"/>
      <c r="AN122" s="142"/>
      <c r="AO122" s="159"/>
      <c r="AP122" s="159"/>
      <c r="AQ122" s="159"/>
      <c r="AR122" s="159"/>
      <c r="AS122" s="169"/>
      <c r="AT122" s="169"/>
      <c r="AU122" s="169"/>
      <c r="AV122" s="169"/>
      <c r="AW122" s="169"/>
    </row>
    <row r="123" spans="2:49" s="42" customFormat="1" ht="34.5">
      <c r="B123" s="5">
        <v>30</v>
      </c>
      <c r="C123" s="438" t="s">
        <v>81</v>
      </c>
      <c r="D123" s="300">
        <v>35</v>
      </c>
      <c r="E123" s="297">
        <v>30</v>
      </c>
      <c r="F123" s="47"/>
      <c r="G123" s="281"/>
      <c r="H123" s="300">
        <v>35</v>
      </c>
      <c r="I123" s="297">
        <v>30</v>
      </c>
      <c r="J123" s="43"/>
      <c r="K123" s="43"/>
      <c r="L123" s="300">
        <v>35</v>
      </c>
      <c r="M123" s="297">
        <v>30</v>
      </c>
      <c r="N123" s="43"/>
      <c r="O123" s="43"/>
      <c r="P123" s="300">
        <v>35</v>
      </c>
      <c r="Q123" s="297">
        <v>30</v>
      </c>
      <c r="R123" s="47"/>
      <c r="S123" s="281"/>
      <c r="T123" s="43"/>
      <c r="U123" s="43"/>
      <c r="V123" s="79"/>
      <c r="W123" s="79"/>
      <c r="X123" s="66"/>
      <c r="Y123" s="68"/>
      <c r="Z123" s="47"/>
      <c r="AA123" s="150"/>
      <c r="AB123" s="147"/>
      <c r="AC123" s="172"/>
      <c r="AD123" s="159"/>
      <c r="AE123" s="142"/>
      <c r="AF123" s="142"/>
      <c r="AG123" s="159"/>
      <c r="AH123" s="159"/>
      <c r="AI123" s="142"/>
      <c r="AJ123" s="142"/>
      <c r="AK123" s="159"/>
      <c r="AL123" s="159"/>
      <c r="AM123" s="142"/>
      <c r="AN123" s="142"/>
      <c r="AO123" s="159"/>
      <c r="AP123" s="159"/>
      <c r="AQ123" s="159"/>
      <c r="AR123" s="159"/>
      <c r="AS123" s="169"/>
      <c r="AT123" s="169"/>
      <c r="AU123" s="169"/>
      <c r="AV123" s="169"/>
      <c r="AW123" s="169"/>
    </row>
    <row r="124" spans="2:49" s="42" customFormat="1" ht="34.5">
      <c r="B124" s="5">
        <v>31</v>
      </c>
      <c r="C124" s="438" t="s">
        <v>82</v>
      </c>
      <c r="D124" s="300">
        <v>34</v>
      </c>
      <c r="E124" s="297">
        <v>31</v>
      </c>
      <c r="F124" s="47"/>
      <c r="G124" s="281"/>
      <c r="H124" s="300">
        <v>34</v>
      </c>
      <c r="I124" s="297">
        <v>31</v>
      </c>
      <c r="J124" s="43"/>
      <c r="K124" s="43"/>
      <c r="L124" s="300">
        <v>34</v>
      </c>
      <c r="M124" s="297">
        <v>31</v>
      </c>
      <c r="N124" s="43"/>
      <c r="O124" s="43"/>
      <c r="P124" s="300">
        <v>34</v>
      </c>
      <c r="Q124" s="297">
        <v>31</v>
      </c>
      <c r="R124" s="47"/>
      <c r="S124" s="281"/>
      <c r="T124" s="43"/>
      <c r="U124" s="43"/>
      <c r="V124" s="79"/>
      <c r="W124" s="79"/>
      <c r="X124" s="66"/>
      <c r="Y124" s="68"/>
      <c r="Z124" s="47"/>
      <c r="AA124" s="150"/>
      <c r="AB124" s="147"/>
      <c r="AC124" s="172"/>
      <c r="AD124" s="159"/>
      <c r="AE124" s="142"/>
      <c r="AF124" s="142"/>
      <c r="AG124" s="159"/>
      <c r="AH124" s="159"/>
      <c r="AI124" s="142"/>
      <c r="AJ124" s="142"/>
      <c r="AK124" s="159"/>
      <c r="AL124" s="159"/>
      <c r="AM124" s="142"/>
      <c r="AN124" s="142"/>
      <c r="AO124" s="159"/>
      <c r="AP124" s="159"/>
      <c r="AQ124" s="159"/>
      <c r="AR124" s="159"/>
      <c r="AS124" s="169"/>
      <c r="AT124" s="169"/>
      <c r="AU124" s="169"/>
      <c r="AV124" s="169"/>
      <c r="AW124" s="169"/>
    </row>
    <row r="125" spans="2:49" s="42" customFormat="1" ht="35.25" thickBot="1">
      <c r="B125" s="5">
        <v>32</v>
      </c>
      <c r="C125" s="442" t="s">
        <v>83</v>
      </c>
      <c r="D125" s="279">
        <v>33</v>
      </c>
      <c r="E125" s="298">
        <v>32</v>
      </c>
      <c r="F125" s="282"/>
      <c r="G125" s="284"/>
      <c r="H125" s="279">
        <v>33</v>
      </c>
      <c r="I125" s="298">
        <v>32</v>
      </c>
      <c r="J125" s="283"/>
      <c r="K125" s="283"/>
      <c r="L125" s="279">
        <v>33</v>
      </c>
      <c r="M125" s="298">
        <v>32</v>
      </c>
      <c r="N125" s="283"/>
      <c r="O125" s="283"/>
      <c r="P125" s="279">
        <v>33</v>
      </c>
      <c r="Q125" s="298">
        <v>32</v>
      </c>
      <c r="R125" s="282"/>
      <c r="S125" s="284"/>
      <c r="T125" s="51"/>
      <c r="U125" s="51"/>
      <c r="V125" s="80"/>
      <c r="W125" s="80"/>
      <c r="X125" s="71"/>
      <c r="Y125" s="72"/>
      <c r="Z125" s="52"/>
      <c r="AA125" s="151"/>
      <c r="AB125" s="152"/>
      <c r="AC125" s="174"/>
      <c r="AD125" s="159"/>
      <c r="AE125" s="142"/>
      <c r="AF125" s="142"/>
      <c r="AG125" s="159"/>
      <c r="AH125" s="159"/>
      <c r="AI125" s="142"/>
      <c r="AJ125" s="142"/>
      <c r="AK125" s="159"/>
      <c r="AL125" s="159"/>
      <c r="AM125" s="142"/>
      <c r="AN125" s="142"/>
      <c r="AO125" s="159"/>
      <c r="AP125" s="159"/>
      <c r="AQ125" s="159"/>
      <c r="AR125" s="159"/>
      <c r="AS125" s="169"/>
      <c r="AT125" s="169"/>
      <c r="AU125" s="169"/>
      <c r="AV125" s="169"/>
      <c r="AW125" s="169"/>
    </row>
    <row r="126" spans="2:49" s="42" customFormat="1" ht="35.25" thickTop="1">
      <c r="B126" s="217">
        <v>33</v>
      </c>
      <c r="C126" s="437" t="s">
        <v>84</v>
      </c>
      <c r="D126" s="299">
        <v>32</v>
      </c>
      <c r="E126" s="296">
        <v>33</v>
      </c>
      <c r="F126" s="278"/>
      <c r="G126" s="280"/>
      <c r="H126" s="299">
        <v>32</v>
      </c>
      <c r="I126" s="296">
        <v>33</v>
      </c>
      <c r="J126" s="274"/>
      <c r="K126" s="274"/>
      <c r="L126" s="299">
        <v>32</v>
      </c>
      <c r="M126" s="296">
        <v>33</v>
      </c>
      <c r="N126" s="274"/>
      <c r="O126" s="274"/>
      <c r="P126" s="299">
        <v>32</v>
      </c>
      <c r="Q126" s="296">
        <v>33</v>
      </c>
      <c r="R126" s="278"/>
      <c r="S126" s="280"/>
      <c r="T126" s="43"/>
      <c r="U126" s="43"/>
      <c r="V126" s="77"/>
      <c r="W126" s="77"/>
      <c r="X126" s="66"/>
      <c r="Y126" s="68"/>
      <c r="Z126" s="44"/>
      <c r="AA126" s="145"/>
      <c r="AB126" s="147"/>
      <c r="AC126" s="172"/>
      <c r="AD126" s="159"/>
      <c r="AE126" s="142"/>
      <c r="AF126" s="142"/>
      <c r="AG126" s="159"/>
      <c r="AH126" s="159"/>
      <c r="AI126" s="142"/>
      <c r="AJ126" s="142"/>
      <c r="AK126" s="159"/>
      <c r="AL126" s="159"/>
      <c r="AM126" s="142"/>
      <c r="AN126" s="142"/>
      <c r="AO126" s="159"/>
      <c r="AP126" s="159"/>
      <c r="AQ126" s="159"/>
      <c r="AR126" s="159"/>
      <c r="AS126" s="169"/>
      <c r="AT126" s="169"/>
      <c r="AU126" s="169"/>
      <c r="AV126" s="169"/>
      <c r="AW126" s="169"/>
    </row>
    <row r="127" spans="2:49" s="42" customFormat="1" ht="34.5">
      <c r="B127" s="5">
        <v>34</v>
      </c>
      <c r="C127" s="438" t="s">
        <v>85</v>
      </c>
      <c r="D127" s="300">
        <v>31</v>
      </c>
      <c r="E127" s="297">
        <v>34</v>
      </c>
      <c r="F127" s="47"/>
      <c r="G127" s="281"/>
      <c r="H127" s="300">
        <v>31</v>
      </c>
      <c r="I127" s="297">
        <v>34</v>
      </c>
      <c r="J127" s="43"/>
      <c r="K127" s="43"/>
      <c r="L127" s="300">
        <v>31</v>
      </c>
      <c r="M127" s="297">
        <v>34</v>
      </c>
      <c r="N127" s="43"/>
      <c r="O127" s="43"/>
      <c r="P127" s="300">
        <v>31</v>
      </c>
      <c r="Q127" s="297">
        <v>34</v>
      </c>
      <c r="R127" s="47"/>
      <c r="S127" s="281"/>
      <c r="T127" s="43"/>
      <c r="U127" s="46"/>
      <c r="V127" s="77"/>
      <c r="W127" s="77"/>
      <c r="X127" s="66"/>
      <c r="Y127" s="67"/>
      <c r="Z127" s="44"/>
      <c r="AA127" s="145"/>
      <c r="AB127" s="147"/>
      <c r="AC127" s="171"/>
      <c r="AD127" s="159"/>
      <c r="AE127" s="142"/>
      <c r="AF127" s="142"/>
      <c r="AG127" s="159"/>
      <c r="AH127" s="159"/>
      <c r="AI127" s="142"/>
      <c r="AJ127" s="142"/>
      <c r="AK127" s="159"/>
      <c r="AL127" s="159"/>
      <c r="AM127" s="142"/>
      <c r="AN127" s="142"/>
      <c r="AO127" s="159"/>
      <c r="AP127" s="159"/>
      <c r="AQ127" s="159"/>
      <c r="AR127" s="159"/>
      <c r="AS127" s="169"/>
      <c r="AT127" s="169"/>
      <c r="AU127" s="169"/>
      <c r="AV127" s="169"/>
      <c r="AW127" s="169"/>
    </row>
    <row r="128" spans="2:49" s="42" customFormat="1" ht="34.5">
      <c r="B128" s="5">
        <v>35</v>
      </c>
      <c r="C128" s="438" t="s">
        <v>86</v>
      </c>
      <c r="D128" s="300">
        <v>30</v>
      </c>
      <c r="E128" s="297">
        <v>35</v>
      </c>
      <c r="F128" s="47"/>
      <c r="G128" s="281"/>
      <c r="H128" s="300">
        <v>30</v>
      </c>
      <c r="I128" s="297">
        <v>35</v>
      </c>
      <c r="J128" s="43"/>
      <c r="K128" s="43"/>
      <c r="L128" s="300">
        <v>30</v>
      </c>
      <c r="M128" s="297">
        <v>35</v>
      </c>
      <c r="N128" s="43"/>
      <c r="O128" s="43"/>
      <c r="P128" s="300">
        <v>30</v>
      </c>
      <c r="Q128" s="297">
        <v>35</v>
      </c>
      <c r="R128" s="47"/>
      <c r="S128" s="281"/>
      <c r="T128" s="43"/>
      <c r="U128" s="46"/>
      <c r="V128" s="77"/>
      <c r="W128" s="77"/>
      <c r="X128" s="66"/>
      <c r="Y128" s="67"/>
      <c r="Z128" s="44"/>
      <c r="AA128" s="145"/>
      <c r="AB128" s="147"/>
      <c r="AC128" s="171"/>
      <c r="AD128" s="159"/>
      <c r="AE128" s="142"/>
      <c r="AF128" s="142"/>
      <c r="AG128" s="159"/>
      <c r="AH128" s="159"/>
      <c r="AI128" s="142"/>
      <c r="AJ128" s="142"/>
      <c r="AK128" s="159"/>
      <c r="AL128" s="159"/>
      <c r="AM128" s="142"/>
      <c r="AN128" s="142"/>
      <c r="AO128" s="159"/>
      <c r="AP128" s="159"/>
      <c r="AQ128" s="159"/>
      <c r="AR128" s="159"/>
      <c r="AS128" s="169"/>
      <c r="AT128" s="169"/>
      <c r="AU128" s="169"/>
      <c r="AV128" s="169"/>
      <c r="AW128" s="169"/>
    </row>
    <row r="129" spans="2:49" s="42" customFormat="1" ht="34.5">
      <c r="B129" s="5">
        <v>36</v>
      </c>
      <c r="C129" s="438" t="s">
        <v>87</v>
      </c>
      <c r="D129" s="300">
        <v>29</v>
      </c>
      <c r="E129" s="297">
        <v>36</v>
      </c>
      <c r="F129" s="47"/>
      <c r="G129" s="281"/>
      <c r="H129" s="300">
        <v>29</v>
      </c>
      <c r="I129" s="297">
        <v>36</v>
      </c>
      <c r="J129" s="43"/>
      <c r="K129" s="43"/>
      <c r="L129" s="300">
        <v>29</v>
      </c>
      <c r="M129" s="297">
        <v>36</v>
      </c>
      <c r="N129" s="43"/>
      <c r="O129" s="43"/>
      <c r="P129" s="300">
        <v>29</v>
      </c>
      <c r="Q129" s="297">
        <v>36</v>
      </c>
      <c r="R129" s="47"/>
      <c r="S129" s="281"/>
      <c r="T129" s="43"/>
      <c r="U129" s="46"/>
      <c r="V129" s="77"/>
      <c r="W129" s="77"/>
      <c r="X129" s="66"/>
      <c r="Y129" s="67"/>
      <c r="Z129" s="44"/>
      <c r="AA129" s="145"/>
      <c r="AB129" s="147"/>
      <c r="AC129" s="171"/>
      <c r="AD129" s="159"/>
      <c r="AE129" s="142"/>
      <c r="AF129" s="142"/>
      <c r="AG129" s="159"/>
      <c r="AH129" s="159"/>
      <c r="AI129" s="142"/>
      <c r="AJ129" s="142"/>
      <c r="AK129" s="159"/>
      <c r="AL129" s="159"/>
      <c r="AM129" s="142"/>
      <c r="AN129" s="142"/>
      <c r="AO129" s="159"/>
      <c r="AP129" s="159"/>
      <c r="AQ129" s="159"/>
      <c r="AR129" s="159"/>
      <c r="AS129" s="169"/>
      <c r="AT129" s="169"/>
      <c r="AU129" s="169"/>
      <c r="AV129" s="169"/>
      <c r="AW129" s="169"/>
    </row>
    <row r="130" spans="2:49" s="42" customFormat="1" ht="34.5">
      <c r="B130" s="5">
        <v>37</v>
      </c>
      <c r="C130" s="438" t="s">
        <v>88</v>
      </c>
      <c r="D130" s="300">
        <v>28</v>
      </c>
      <c r="E130" s="297">
        <v>37</v>
      </c>
      <c r="F130" s="47"/>
      <c r="G130" s="281"/>
      <c r="H130" s="300">
        <v>28</v>
      </c>
      <c r="I130" s="297">
        <v>37</v>
      </c>
      <c r="J130" s="43"/>
      <c r="K130" s="43"/>
      <c r="L130" s="300">
        <v>28</v>
      </c>
      <c r="M130" s="297">
        <v>37</v>
      </c>
      <c r="N130" s="43"/>
      <c r="O130" s="43"/>
      <c r="P130" s="300">
        <v>28</v>
      </c>
      <c r="Q130" s="297">
        <v>37</v>
      </c>
      <c r="R130" s="47"/>
      <c r="S130" s="281"/>
      <c r="T130" s="43"/>
      <c r="U130" s="46"/>
      <c r="V130" s="77"/>
      <c r="W130" s="77"/>
      <c r="X130" s="66"/>
      <c r="Y130" s="67"/>
      <c r="Z130" s="44"/>
      <c r="AA130" s="145"/>
      <c r="AB130" s="147"/>
      <c r="AC130" s="171"/>
      <c r="AD130" s="159"/>
      <c r="AE130" s="142"/>
      <c r="AF130" s="142"/>
      <c r="AG130" s="159"/>
      <c r="AH130" s="159"/>
      <c r="AI130" s="142"/>
      <c r="AJ130" s="142"/>
      <c r="AK130" s="159"/>
      <c r="AL130" s="159"/>
      <c r="AM130" s="142"/>
      <c r="AN130" s="142"/>
      <c r="AO130" s="159"/>
      <c r="AP130" s="159"/>
      <c r="AQ130" s="159"/>
      <c r="AR130" s="159"/>
      <c r="AS130" s="169"/>
      <c r="AT130" s="169"/>
      <c r="AU130" s="169"/>
      <c r="AV130" s="169"/>
      <c r="AW130" s="169"/>
    </row>
    <row r="131" spans="2:49" s="42" customFormat="1" ht="34.5">
      <c r="B131" s="5">
        <v>38</v>
      </c>
      <c r="C131" s="438" t="s">
        <v>89</v>
      </c>
      <c r="D131" s="300">
        <v>27</v>
      </c>
      <c r="E131" s="297">
        <v>38</v>
      </c>
      <c r="F131" s="47"/>
      <c r="G131" s="281"/>
      <c r="H131" s="300">
        <v>27</v>
      </c>
      <c r="I131" s="297">
        <v>38</v>
      </c>
      <c r="J131" s="43"/>
      <c r="K131" s="43"/>
      <c r="L131" s="300">
        <v>27</v>
      </c>
      <c r="M131" s="297">
        <v>38</v>
      </c>
      <c r="N131" s="43"/>
      <c r="O131" s="43"/>
      <c r="P131" s="300">
        <v>27</v>
      </c>
      <c r="Q131" s="297">
        <v>38</v>
      </c>
      <c r="R131" s="47"/>
      <c r="S131" s="281"/>
      <c r="T131" s="43"/>
      <c r="U131" s="43"/>
      <c r="V131" s="77"/>
      <c r="W131" s="77"/>
      <c r="X131" s="66"/>
      <c r="Y131" s="68"/>
      <c r="Z131" s="44"/>
      <c r="AA131" s="145"/>
      <c r="AB131" s="147"/>
      <c r="AC131" s="172"/>
      <c r="AD131" s="159"/>
      <c r="AE131" s="142"/>
      <c r="AF131" s="142"/>
      <c r="AG131" s="159"/>
      <c r="AH131" s="159"/>
      <c r="AI131" s="142"/>
      <c r="AJ131" s="142"/>
      <c r="AK131" s="159"/>
      <c r="AL131" s="159"/>
      <c r="AM131" s="142"/>
      <c r="AN131" s="142"/>
      <c r="AO131" s="159"/>
      <c r="AP131" s="159"/>
      <c r="AQ131" s="159"/>
      <c r="AR131" s="159"/>
      <c r="AS131" s="169"/>
      <c r="AT131" s="169"/>
      <c r="AU131" s="169"/>
      <c r="AV131" s="169"/>
      <c r="AW131" s="169"/>
    </row>
    <row r="132" spans="2:49" s="42" customFormat="1" ht="34.5">
      <c r="B132" s="192">
        <v>39</v>
      </c>
      <c r="C132" s="438" t="s">
        <v>90</v>
      </c>
      <c r="D132" s="300">
        <v>26</v>
      </c>
      <c r="E132" s="297">
        <v>39</v>
      </c>
      <c r="F132" s="47"/>
      <c r="G132" s="281"/>
      <c r="H132" s="300">
        <v>26</v>
      </c>
      <c r="I132" s="297">
        <v>39</v>
      </c>
      <c r="J132" s="43"/>
      <c r="K132" s="43"/>
      <c r="L132" s="300">
        <v>26</v>
      </c>
      <c r="M132" s="297">
        <v>39</v>
      </c>
      <c r="N132" s="43"/>
      <c r="O132" s="43"/>
      <c r="P132" s="300">
        <v>26</v>
      </c>
      <c r="Q132" s="297">
        <v>39</v>
      </c>
      <c r="R132" s="47"/>
      <c r="S132" s="281"/>
      <c r="T132" s="43"/>
      <c r="U132" s="43"/>
      <c r="V132" s="77"/>
      <c r="W132" s="77"/>
      <c r="X132" s="66"/>
      <c r="Y132" s="68"/>
      <c r="Z132" s="44"/>
      <c r="AA132" s="145"/>
      <c r="AB132" s="147"/>
      <c r="AC132" s="172"/>
      <c r="AD132" s="159"/>
      <c r="AE132" s="142"/>
      <c r="AF132" s="142"/>
      <c r="AG132" s="159"/>
      <c r="AH132" s="159"/>
      <c r="AI132" s="142"/>
      <c r="AJ132" s="142"/>
      <c r="AK132" s="159"/>
      <c r="AL132" s="159"/>
      <c r="AM132" s="142"/>
      <c r="AN132" s="142"/>
      <c r="AO132" s="159"/>
      <c r="AP132" s="159"/>
      <c r="AQ132" s="159"/>
      <c r="AR132" s="159"/>
      <c r="AS132" s="169"/>
      <c r="AT132" s="169"/>
      <c r="AU132" s="169"/>
      <c r="AV132" s="169"/>
      <c r="AW132" s="169"/>
    </row>
    <row r="133" spans="2:49" s="42" customFormat="1" ht="35.25" thickBot="1">
      <c r="B133" s="218">
        <v>40</v>
      </c>
      <c r="C133" s="442" t="s">
        <v>91</v>
      </c>
      <c r="D133" s="279">
        <v>25</v>
      </c>
      <c r="E133" s="298">
        <v>40</v>
      </c>
      <c r="F133" s="282"/>
      <c r="G133" s="284"/>
      <c r="H133" s="279">
        <v>25</v>
      </c>
      <c r="I133" s="298">
        <v>40</v>
      </c>
      <c r="J133" s="283"/>
      <c r="K133" s="283"/>
      <c r="L133" s="279">
        <v>25</v>
      </c>
      <c r="M133" s="298">
        <v>40</v>
      </c>
      <c r="N133" s="283"/>
      <c r="O133" s="285"/>
      <c r="P133" s="279">
        <v>25</v>
      </c>
      <c r="Q133" s="298">
        <v>40</v>
      </c>
      <c r="R133" s="282"/>
      <c r="S133" s="284"/>
      <c r="T133" s="43"/>
      <c r="U133" s="43"/>
      <c r="V133" s="77"/>
      <c r="W133" s="77"/>
      <c r="X133" s="66"/>
      <c r="Y133" s="68"/>
      <c r="Z133" s="44"/>
      <c r="AA133" s="145"/>
      <c r="AB133" s="147"/>
      <c r="AC133" s="172"/>
      <c r="AD133" s="159"/>
      <c r="AE133" s="142"/>
      <c r="AF133" s="142"/>
      <c r="AG133" s="159"/>
      <c r="AH133" s="159"/>
      <c r="AI133" s="142"/>
      <c r="AJ133" s="142"/>
      <c r="AK133" s="159"/>
      <c r="AL133" s="159"/>
      <c r="AM133" s="142"/>
      <c r="AN133" s="142"/>
      <c r="AO133" s="159"/>
      <c r="AP133" s="159"/>
      <c r="AQ133" s="159"/>
      <c r="AR133" s="159"/>
      <c r="AS133" s="169"/>
      <c r="AT133" s="169"/>
      <c r="AU133" s="169"/>
      <c r="AV133" s="169"/>
      <c r="AW133" s="169"/>
    </row>
    <row r="134" spans="2:49" s="42" customFormat="1" ht="35.25" thickTop="1">
      <c r="B134" s="5">
        <v>41</v>
      </c>
      <c r="C134" s="433" t="s">
        <v>92</v>
      </c>
      <c r="D134" s="299">
        <v>24</v>
      </c>
      <c r="E134" s="296">
        <v>41</v>
      </c>
      <c r="F134" s="278"/>
      <c r="G134" s="280"/>
      <c r="H134" s="299">
        <v>24</v>
      </c>
      <c r="I134" s="296">
        <v>41</v>
      </c>
      <c r="J134" s="274"/>
      <c r="K134" s="274"/>
      <c r="L134" s="299">
        <v>24</v>
      </c>
      <c r="M134" s="296">
        <v>41</v>
      </c>
      <c r="N134" s="274"/>
      <c r="O134" s="286"/>
      <c r="P134" s="299">
        <v>24</v>
      </c>
      <c r="Q134" s="296">
        <v>41</v>
      </c>
      <c r="R134" s="278"/>
      <c r="S134" s="280"/>
      <c r="T134" s="48"/>
      <c r="U134" s="48"/>
      <c r="V134" s="78"/>
      <c r="W134" s="78"/>
      <c r="X134" s="69"/>
      <c r="Y134" s="64"/>
      <c r="Z134" s="50"/>
      <c r="AA134" s="148"/>
      <c r="AB134" s="149"/>
      <c r="AC134" s="173"/>
      <c r="AD134" s="159"/>
      <c r="AE134" s="142"/>
      <c r="AF134" s="142"/>
      <c r="AG134" s="159"/>
      <c r="AH134" s="159"/>
      <c r="AI134" s="142"/>
      <c r="AJ134" s="142"/>
      <c r="AK134" s="159"/>
      <c r="AL134" s="159"/>
      <c r="AM134" s="142"/>
      <c r="AN134" s="142"/>
      <c r="AO134" s="159"/>
      <c r="AP134" s="159"/>
      <c r="AQ134" s="159"/>
      <c r="AR134" s="159"/>
      <c r="AS134" s="169"/>
      <c r="AT134" s="169"/>
      <c r="AU134" s="169"/>
      <c r="AV134" s="169"/>
      <c r="AW134" s="169"/>
    </row>
    <row r="135" spans="2:49" s="42" customFormat="1" ht="34.5">
      <c r="B135" s="5">
        <v>42</v>
      </c>
      <c r="C135" s="434" t="s">
        <v>93</v>
      </c>
      <c r="D135" s="300">
        <v>23</v>
      </c>
      <c r="E135" s="297">
        <v>42</v>
      </c>
      <c r="F135" s="47"/>
      <c r="G135" s="281"/>
      <c r="H135" s="300">
        <v>23</v>
      </c>
      <c r="I135" s="297">
        <v>42</v>
      </c>
      <c r="J135" s="43"/>
      <c r="K135" s="43"/>
      <c r="L135" s="300">
        <v>23</v>
      </c>
      <c r="M135" s="297">
        <v>42</v>
      </c>
      <c r="N135" s="43"/>
      <c r="O135" s="54"/>
      <c r="P135" s="300">
        <v>23</v>
      </c>
      <c r="Q135" s="297">
        <v>42</v>
      </c>
      <c r="R135" s="47"/>
      <c r="S135" s="281"/>
      <c r="T135" s="43"/>
      <c r="U135" s="43"/>
      <c r="V135" s="79"/>
      <c r="W135" s="79"/>
      <c r="X135" s="66"/>
      <c r="Y135" s="68"/>
      <c r="Z135" s="47"/>
      <c r="AA135" s="150"/>
      <c r="AB135" s="147"/>
      <c r="AC135" s="172"/>
      <c r="AD135" s="159"/>
      <c r="AE135" s="142"/>
      <c r="AF135" s="142"/>
      <c r="AG135" s="159"/>
      <c r="AH135" s="159"/>
      <c r="AI135" s="142"/>
      <c r="AJ135" s="142"/>
      <c r="AK135" s="159"/>
      <c r="AL135" s="159"/>
      <c r="AM135" s="142"/>
      <c r="AN135" s="142"/>
      <c r="AO135" s="159"/>
      <c r="AP135" s="159"/>
      <c r="AQ135" s="159"/>
      <c r="AR135" s="159"/>
      <c r="AS135" s="169"/>
      <c r="AT135" s="169"/>
      <c r="AU135" s="169"/>
      <c r="AV135" s="169"/>
      <c r="AW135" s="169"/>
    </row>
    <row r="136" spans="2:49" s="42" customFormat="1" ht="34.5">
      <c r="B136" s="5">
        <v>43</v>
      </c>
      <c r="C136" s="443" t="s">
        <v>94</v>
      </c>
      <c r="D136" s="300">
        <v>22</v>
      </c>
      <c r="E136" s="297">
        <v>43</v>
      </c>
      <c r="F136" s="47"/>
      <c r="G136" s="281"/>
      <c r="H136" s="300">
        <v>22</v>
      </c>
      <c r="I136" s="297">
        <v>43</v>
      </c>
      <c r="J136" s="43"/>
      <c r="K136" s="43"/>
      <c r="L136" s="300">
        <v>22</v>
      </c>
      <c r="M136" s="297">
        <v>43</v>
      </c>
      <c r="N136" s="43"/>
      <c r="O136" s="54"/>
      <c r="P136" s="300">
        <v>22</v>
      </c>
      <c r="Q136" s="297">
        <v>43</v>
      </c>
      <c r="R136" s="47"/>
      <c r="S136" s="281"/>
      <c r="T136" s="43"/>
      <c r="U136" s="43"/>
      <c r="V136" s="79"/>
      <c r="W136" s="79"/>
      <c r="X136" s="66"/>
      <c r="Y136" s="68"/>
      <c r="Z136" s="47"/>
      <c r="AA136" s="150"/>
      <c r="AB136" s="147"/>
      <c r="AC136" s="172"/>
      <c r="AD136" s="159"/>
      <c r="AE136" s="142"/>
      <c r="AF136" s="142"/>
      <c r="AG136" s="159"/>
      <c r="AH136" s="159"/>
      <c r="AI136" s="142"/>
      <c r="AJ136" s="142"/>
      <c r="AK136" s="159"/>
      <c r="AL136" s="159"/>
      <c r="AM136" s="142"/>
      <c r="AN136" s="142"/>
      <c r="AO136" s="159"/>
      <c r="AP136" s="159"/>
      <c r="AQ136" s="159"/>
      <c r="AR136" s="159"/>
      <c r="AS136" s="169"/>
      <c r="AT136" s="169"/>
      <c r="AU136" s="169"/>
      <c r="AV136" s="169"/>
      <c r="AW136" s="169"/>
    </row>
    <row r="137" spans="2:49" s="42" customFormat="1" ht="34.5">
      <c r="B137" s="5">
        <v>44</v>
      </c>
      <c r="C137" s="434" t="s">
        <v>95</v>
      </c>
      <c r="D137" s="300">
        <v>21</v>
      </c>
      <c r="E137" s="297">
        <v>44</v>
      </c>
      <c r="F137" s="47"/>
      <c r="G137" s="281"/>
      <c r="H137" s="300">
        <v>21</v>
      </c>
      <c r="I137" s="297">
        <v>44</v>
      </c>
      <c r="J137" s="43"/>
      <c r="K137" s="43"/>
      <c r="L137" s="300">
        <v>21</v>
      </c>
      <c r="M137" s="297">
        <v>44</v>
      </c>
      <c r="N137" s="43"/>
      <c r="O137" s="54"/>
      <c r="P137" s="300">
        <v>21</v>
      </c>
      <c r="Q137" s="297">
        <v>44</v>
      </c>
      <c r="R137" s="47"/>
      <c r="S137" s="281"/>
      <c r="T137" s="43"/>
      <c r="U137" s="43"/>
      <c r="V137" s="79"/>
      <c r="W137" s="79"/>
      <c r="X137" s="66"/>
      <c r="Y137" s="68"/>
      <c r="Z137" s="47"/>
      <c r="AA137" s="150"/>
      <c r="AB137" s="147"/>
      <c r="AC137" s="172"/>
      <c r="AD137" s="159"/>
      <c r="AE137" s="142"/>
      <c r="AF137" s="142"/>
      <c r="AG137" s="159"/>
      <c r="AH137" s="159"/>
      <c r="AI137" s="142"/>
      <c r="AJ137" s="142"/>
      <c r="AK137" s="159"/>
      <c r="AL137" s="159"/>
      <c r="AM137" s="142"/>
      <c r="AN137" s="142"/>
      <c r="AO137" s="159"/>
      <c r="AP137" s="159"/>
      <c r="AQ137" s="159"/>
      <c r="AR137" s="159"/>
      <c r="AS137" s="169"/>
      <c r="AT137" s="169"/>
      <c r="AU137" s="169"/>
      <c r="AV137" s="169"/>
      <c r="AW137" s="169"/>
    </row>
    <row r="138" spans="2:49" s="42" customFormat="1" ht="34.5">
      <c r="B138" s="5">
        <v>45</v>
      </c>
      <c r="C138" s="434" t="s">
        <v>96</v>
      </c>
      <c r="D138" s="300">
        <v>20</v>
      </c>
      <c r="E138" s="297">
        <v>45</v>
      </c>
      <c r="F138" s="47"/>
      <c r="G138" s="281"/>
      <c r="H138" s="300">
        <v>20</v>
      </c>
      <c r="I138" s="297">
        <v>45</v>
      </c>
      <c r="J138" s="43"/>
      <c r="K138" s="43"/>
      <c r="L138" s="300">
        <v>20</v>
      </c>
      <c r="M138" s="297">
        <v>45</v>
      </c>
      <c r="N138" s="43"/>
      <c r="O138" s="54"/>
      <c r="P138" s="300">
        <v>20</v>
      </c>
      <c r="Q138" s="297">
        <v>45</v>
      </c>
      <c r="R138" s="47"/>
      <c r="S138" s="281"/>
      <c r="T138" s="43"/>
      <c r="U138" s="43"/>
      <c r="V138" s="79"/>
      <c r="W138" s="79"/>
      <c r="X138" s="66"/>
      <c r="Y138" s="68"/>
      <c r="Z138" s="47"/>
      <c r="AA138" s="150"/>
      <c r="AB138" s="147"/>
      <c r="AC138" s="172"/>
      <c r="AD138" s="159"/>
      <c r="AE138" s="142"/>
      <c r="AF138" s="142"/>
      <c r="AG138" s="159"/>
      <c r="AH138" s="159"/>
      <c r="AI138" s="142"/>
      <c r="AJ138" s="142"/>
      <c r="AK138" s="159"/>
      <c r="AL138" s="159"/>
      <c r="AM138" s="142"/>
      <c r="AN138" s="142"/>
      <c r="AO138" s="159"/>
      <c r="AP138" s="159"/>
      <c r="AQ138" s="159"/>
      <c r="AR138" s="159"/>
      <c r="AS138" s="169"/>
      <c r="AT138" s="169"/>
      <c r="AU138" s="169"/>
      <c r="AV138" s="169"/>
      <c r="AW138" s="169"/>
    </row>
    <row r="139" spans="2:49" s="42" customFormat="1" ht="34.5">
      <c r="B139" s="192">
        <v>46</v>
      </c>
      <c r="C139" s="443" t="s">
        <v>97</v>
      </c>
      <c r="D139" s="300">
        <v>19</v>
      </c>
      <c r="E139" s="297">
        <v>46</v>
      </c>
      <c r="F139" s="47"/>
      <c r="G139" s="281"/>
      <c r="H139" s="300">
        <v>19</v>
      </c>
      <c r="I139" s="297">
        <v>46</v>
      </c>
      <c r="J139" s="43"/>
      <c r="K139" s="43"/>
      <c r="L139" s="300">
        <v>19</v>
      </c>
      <c r="M139" s="297">
        <v>46</v>
      </c>
      <c r="N139" s="43"/>
      <c r="O139" s="54"/>
      <c r="P139" s="300">
        <v>19</v>
      </c>
      <c r="Q139" s="297">
        <v>46</v>
      </c>
      <c r="R139" s="47"/>
      <c r="S139" s="281"/>
      <c r="T139" s="43"/>
      <c r="U139" s="43"/>
      <c r="V139" s="79"/>
      <c r="W139" s="79"/>
      <c r="X139" s="66"/>
      <c r="Y139" s="68"/>
      <c r="Z139" s="47"/>
      <c r="AA139" s="150"/>
      <c r="AB139" s="147"/>
      <c r="AC139" s="172"/>
      <c r="AD139" s="159"/>
      <c r="AE139" s="142"/>
      <c r="AF139" s="142"/>
      <c r="AG139" s="159"/>
      <c r="AH139" s="159"/>
      <c r="AI139" s="142"/>
      <c r="AJ139" s="142"/>
      <c r="AK139" s="159"/>
      <c r="AL139" s="159"/>
      <c r="AM139" s="142"/>
      <c r="AN139" s="142"/>
      <c r="AO139" s="159"/>
      <c r="AP139" s="159"/>
      <c r="AQ139" s="159"/>
      <c r="AR139" s="159"/>
      <c r="AS139" s="169"/>
      <c r="AT139" s="169"/>
      <c r="AU139" s="169"/>
      <c r="AV139" s="169"/>
      <c r="AW139" s="169"/>
    </row>
    <row r="140" spans="2:49" s="42" customFormat="1" ht="34.5">
      <c r="B140" s="5">
        <v>47</v>
      </c>
      <c r="C140" s="434" t="s">
        <v>98</v>
      </c>
      <c r="D140" s="300">
        <v>18</v>
      </c>
      <c r="E140" s="297">
        <v>47</v>
      </c>
      <c r="F140" s="47"/>
      <c r="G140" s="281"/>
      <c r="H140" s="300">
        <v>18</v>
      </c>
      <c r="I140" s="297">
        <v>47</v>
      </c>
      <c r="J140" s="43"/>
      <c r="K140" s="43"/>
      <c r="L140" s="300">
        <v>18</v>
      </c>
      <c r="M140" s="297">
        <v>47</v>
      </c>
      <c r="N140" s="43"/>
      <c r="O140" s="54"/>
      <c r="P140" s="300">
        <v>18</v>
      </c>
      <c r="Q140" s="297">
        <v>47</v>
      </c>
      <c r="R140" s="47"/>
      <c r="S140" s="281"/>
      <c r="T140" s="43"/>
      <c r="U140" s="43"/>
      <c r="V140" s="79"/>
      <c r="W140" s="79"/>
      <c r="X140" s="66"/>
      <c r="Y140" s="68"/>
      <c r="Z140" s="47"/>
      <c r="AA140" s="150"/>
      <c r="AB140" s="147"/>
      <c r="AC140" s="172"/>
      <c r="AD140" s="159"/>
      <c r="AE140" s="142"/>
      <c r="AF140" s="142"/>
      <c r="AG140" s="159"/>
      <c r="AH140" s="159"/>
      <c r="AI140" s="142"/>
      <c r="AJ140" s="142"/>
      <c r="AK140" s="159"/>
      <c r="AL140" s="159"/>
      <c r="AM140" s="142"/>
      <c r="AN140" s="142"/>
      <c r="AO140" s="159"/>
      <c r="AP140" s="159"/>
      <c r="AQ140" s="159"/>
      <c r="AR140" s="159"/>
      <c r="AS140" s="169"/>
      <c r="AT140" s="169"/>
      <c r="AU140" s="169"/>
      <c r="AV140" s="169"/>
      <c r="AW140" s="169"/>
    </row>
    <row r="141" spans="2:49" s="42" customFormat="1" ht="35.25" thickBot="1">
      <c r="B141" s="5">
        <v>48</v>
      </c>
      <c r="C141" s="436" t="s">
        <v>99</v>
      </c>
      <c r="D141" s="279">
        <v>17</v>
      </c>
      <c r="E141" s="298">
        <v>48</v>
      </c>
      <c r="F141" s="282"/>
      <c r="G141" s="284"/>
      <c r="H141" s="279">
        <v>17</v>
      </c>
      <c r="I141" s="298">
        <v>48</v>
      </c>
      <c r="J141" s="283"/>
      <c r="K141" s="283"/>
      <c r="L141" s="279">
        <v>17</v>
      </c>
      <c r="M141" s="298">
        <v>48</v>
      </c>
      <c r="N141" s="283"/>
      <c r="O141" s="285"/>
      <c r="P141" s="279">
        <v>17</v>
      </c>
      <c r="Q141" s="298">
        <v>48</v>
      </c>
      <c r="R141" s="282"/>
      <c r="S141" s="284"/>
      <c r="T141" s="51"/>
      <c r="U141" s="51"/>
      <c r="V141" s="80"/>
      <c r="W141" s="81"/>
      <c r="X141" s="72"/>
      <c r="Y141" s="72"/>
      <c r="Z141" s="52"/>
      <c r="AA141" s="151"/>
      <c r="AB141" s="152"/>
      <c r="AC141" s="174"/>
      <c r="AD141" s="159"/>
      <c r="AE141" s="142"/>
      <c r="AF141" s="142"/>
      <c r="AG141" s="159"/>
      <c r="AH141" s="159"/>
      <c r="AI141" s="142"/>
      <c r="AJ141" s="142"/>
      <c r="AK141" s="159"/>
      <c r="AL141" s="159"/>
      <c r="AM141" s="142"/>
      <c r="AN141" s="142"/>
      <c r="AO141" s="159"/>
      <c r="AP141" s="159"/>
      <c r="AQ141" s="159"/>
      <c r="AR141" s="159"/>
      <c r="AS141" s="169"/>
      <c r="AT141" s="169"/>
      <c r="AU141" s="169"/>
      <c r="AV141" s="169"/>
      <c r="AW141" s="169"/>
    </row>
    <row r="142" spans="2:49" s="42" customFormat="1" ht="35.25" thickTop="1">
      <c r="B142" s="217">
        <v>49</v>
      </c>
      <c r="C142" s="437" t="s">
        <v>100</v>
      </c>
      <c r="D142" s="299">
        <v>16</v>
      </c>
      <c r="E142" s="296">
        <v>49</v>
      </c>
      <c r="F142" s="295"/>
      <c r="G142" s="390"/>
      <c r="H142" s="299">
        <v>16</v>
      </c>
      <c r="I142" s="296">
        <v>49</v>
      </c>
      <c r="J142" s="294"/>
      <c r="K142" s="294"/>
      <c r="L142" s="299">
        <v>16</v>
      </c>
      <c r="M142" s="296">
        <v>49</v>
      </c>
      <c r="N142" s="294"/>
      <c r="O142" s="294"/>
      <c r="P142" s="299">
        <v>16</v>
      </c>
      <c r="Q142" s="296">
        <v>49</v>
      </c>
      <c r="R142" s="47"/>
      <c r="S142" s="47"/>
      <c r="T142" s="45"/>
      <c r="U142" s="43"/>
      <c r="V142" s="79"/>
      <c r="W142" s="82"/>
      <c r="X142" s="68"/>
      <c r="Y142" s="68"/>
      <c r="Z142" s="44"/>
      <c r="AA142" s="145"/>
      <c r="AB142" s="147"/>
      <c r="AC142" s="172"/>
      <c r="AD142" s="159"/>
      <c r="AE142" s="142"/>
      <c r="AF142" s="142"/>
      <c r="AG142" s="159"/>
      <c r="AH142" s="159"/>
      <c r="AI142" s="142"/>
      <c r="AJ142" s="142"/>
      <c r="AK142" s="159"/>
      <c r="AL142" s="159"/>
      <c r="AM142" s="142"/>
      <c r="AN142" s="142"/>
      <c r="AO142" s="159"/>
      <c r="AP142" s="159"/>
      <c r="AQ142" s="159"/>
      <c r="AR142" s="159"/>
      <c r="AS142" s="169"/>
      <c r="AT142" s="169"/>
      <c r="AU142" s="169"/>
      <c r="AV142" s="169"/>
      <c r="AW142" s="169"/>
    </row>
    <row r="143" spans="2:49" s="42" customFormat="1" ht="34.5">
      <c r="B143" s="5">
        <v>50</v>
      </c>
      <c r="C143" s="438" t="s">
        <v>101</v>
      </c>
      <c r="D143" s="300">
        <v>15</v>
      </c>
      <c r="E143" s="297">
        <v>50</v>
      </c>
      <c r="F143" s="288"/>
      <c r="G143" s="391"/>
      <c r="H143" s="300">
        <v>15</v>
      </c>
      <c r="I143" s="297">
        <v>50</v>
      </c>
      <c r="J143" s="287"/>
      <c r="K143" s="287"/>
      <c r="L143" s="300">
        <v>15</v>
      </c>
      <c r="M143" s="297">
        <v>50</v>
      </c>
      <c r="N143" s="287"/>
      <c r="O143" s="287"/>
      <c r="P143" s="300">
        <v>15</v>
      </c>
      <c r="Q143" s="297">
        <v>50</v>
      </c>
      <c r="R143" s="44"/>
      <c r="S143" s="44"/>
      <c r="T143" s="45"/>
      <c r="U143" s="43"/>
      <c r="V143" s="79"/>
      <c r="W143" s="82"/>
      <c r="X143" s="68"/>
      <c r="Y143" s="67"/>
      <c r="Z143" s="44"/>
      <c r="AA143" s="145"/>
      <c r="AB143" s="147"/>
      <c r="AC143" s="171"/>
      <c r="AD143" s="159"/>
      <c r="AE143" s="142"/>
      <c r="AF143" s="142"/>
      <c r="AG143" s="159"/>
      <c r="AH143" s="159"/>
      <c r="AI143" s="142"/>
      <c r="AJ143" s="142"/>
      <c r="AK143" s="159"/>
      <c r="AL143" s="159"/>
      <c r="AM143" s="142"/>
      <c r="AN143" s="142"/>
      <c r="AO143" s="159"/>
      <c r="AP143" s="159"/>
      <c r="AQ143" s="159"/>
      <c r="AR143" s="159"/>
      <c r="AS143" s="169"/>
      <c r="AT143" s="169"/>
      <c r="AU143" s="169"/>
      <c r="AV143" s="169"/>
      <c r="AW143" s="169"/>
    </row>
    <row r="144" spans="2:49" s="42" customFormat="1" ht="34.5">
      <c r="B144" s="5">
        <v>51</v>
      </c>
      <c r="C144" s="438" t="s">
        <v>102</v>
      </c>
      <c r="D144" s="300">
        <v>14</v>
      </c>
      <c r="E144" s="297">
        <v>51</v>
      </c>
      <c r="F144" s="288"/>
      <c r="G144" s="391"/>
      <c r="H144" s="300">
        <v>14</v>
      </c>
      <c r="I144" s="297">
        <v>51</v>
      </c>
      <c r="J144" s="287"/>
      <c r="K144" s="287"/>
      <c r="L144" s="300">
        <v>14</v>
      </c>
      <c r="M144" s="297">
        <v>51</v>
      </c>
      <c r="N144" s="287"/>
      <c r="O144" s="287"/>
      <c r="P144" s="300">
        <v>14</v>
      </c>
      <c r="Q144" s="297">
        <v>51</v>
      </c>
      <c r="R144" s="44"/>
      <c r="S144" s="44"/>
      <c r="T144" s="45"/>
      <c r="U144" s="43"/>
      <c r="V144" s="79"/>
      <c r="W144" s="82"/>
      <c r="X144" s="68"/>
      <c r="Y144" s="67"/>
      <c r="Z144" s="44"/>
      <c r="AA144" s="145"/>
      <c r="AB144" s="147"/>
      <c r="AC144" s="171"/>
      <c r="AD144" s="159"/>
      <c r="AE144" s="142"/>
      <c r="AF144" s="142"/>
      <c r="AG144" s="159"/>
      <c r="AH144" s="159"/>
      <c r="AI144" s="142"/>
      <c r="AJ144" s="142"/>
      <c r="AK144" s="159"/>
      <c r="AL144" s="159"/>
      <c r="AM144" s="142"/>
      <c r="AN144" s="142"/>
      <c r="AO144" s="159"/>
      <c r="AP144" s="159"/>
      <c r="AQ144" s="159"/>
      <c r="AR144" s="159"/>
      <c r="AS144" s="169"/>
      <c r="AT144" s="169"/>
      <c r="AU144" s="169"/>
      <c r="AV144" s="169"/>
      <c r="AW144" s="169"/>
    </row>
    <row r="145" spans="2:49" s="42" customFormat="1" ht="36.75" customHeight="1">
      <c r="B145" s="5">
        <v>52</v>
      </c>
      <c r="C145" s="438" t="s">
        <v>103</v>
      </c>
      <c r="D145" s="300">
        <v>13</v>
      </c>
      <c r="E145" s="297">
        <v>52</v>
      </c>
      <c r="F145" s="288"/>
      <c r="G145" s="391"/>
      <c r="H145" s="300">
        <v>13</v>
      </c>
      <c r="I145" s="297">
        <v>52</v>
      </c>
      <c r="J145" s="287"/>
      <c r="K145" s="287"/>
      <c r="L145" s="300">
        <v>13</v>
      </c>
      <c r="M145" s="297">
        <v>52</v>
      </c>
      <c r="N145" s="287"/>
      <c r="O145" s="287"/>
      <c r="P145" s="300">
        <v>13</v>
      </c>
      <c r="Q145" s="297">
        <v>52</v>
      </c>
      <c r="R145" s="47"/>
      <c r="S145" s="47"/>
      <c r="T145" s="45"/>
      <c r="U145" s="43"/>
      <c r="V145" s="79"/>
      <c r="W145" s="82"/>
      <c r="X145" s="68"/>
      <c r="Y145" s="67"/>
      <c r="Z145" s="44"/>
      <c r="AA145" s="145"/>
      <c r="AB145" s="147"/>
      <c r="AC145" s="171"/>
      <c r="AD145" s="159"/>
      <c r="AE145" s="142"/>
      <c r="AF145" s="142"/>
      <c r="AG145" s="159"/>
      <c r="AH145" s="159"/>
      <c r="AI145" s="142"/>
      <c r="AJ145" s="142"/>
      <c r="AK145" s="159"/>
      <c r="AL145" s="159"/>
      <c r="AM145" s="142"/>
      <c r="AN145" s="142"/>
      <c r="AO145" s="159"/>
      <c r="AP145" s="159"/>
      <c r="AQ145" s="159"/>
      <c r="AR145" s="159"/>
      <c r="AS145" s="169"/>
      <c r="AT145" s="169"/>
      <c r="AU145" s="169"/>
      <c r="AV145" s="169"/>
      <c r="AW145" s="169"/>
    </row>
    <row r="146" spans="2:49" s="42" customFormat="1" ht="36.75" customHeight="1">
      <c r="B146" s="5">
        <v>53</v>
      </c>
      <c r="C146" s="438" t="s">
        <v>104</v>
      </c>
      <c r="D146" s="300">
        <v>12</v>
      </c>
      <c r="E146" s="297">
        <v>53</v>
      </c>
      <c r="F146" s="288"/>
      <c r="G146" s="391"/>
      <c r="H146" s="300">
        <v>12</v>
      </c>
      <c r="I146" s="297">
        <v>53</v>
      </c>
      <c r="J146" s="287"/>
      <c r="K146" s="287"/>
      <c r="L146" s="300">
        <v>12</v>
      </c>
      <c r="M146" s="297">
        <v>53</v>
      </c>
      <c r="N146" s="287"/>
      <c r="O146" s="287"/>
      <c r="P146" s="300">
        <v>12</v>
      </c>
      <c r="Q146" s="297">
        <v>53</v>
      </c>
      <c r="R146" s="47"/>
      <c r="S146" s="47"/>
      <c r="T146" s="45"/>
      <c r="U146" s="43"/>
      <c r="V146" s="79"/>
      <c r="W146" s="82"/>
      <c r="X146" s="68"/>
      <c r="Y146" s="67"/>
      <c r="Z146" s="44"/>
      <c r="AA146" s="145"/>
      <c r="AB146" s="147"/>
      <c r="AC146" s="171"/>
      <c r="AD146" s="159"/>
      <c r="AE146" s="142"/>
      <c r="AF146" s="142"/>
      <c r="AG146" s="159"/>
      <c r="AH146" s="159"/>
      <c r="AI146" s="142"/>
      <c r="AJ146" s="142"/>
      <c r="AK146" s="159"/>
      <c r="AL146" s="159"/>
      <c r="AM146" s="142"/>
      <c r="AN146" s="142"/>
      <c r="AO146" s="159"/>
      <c r="AP146" s="159"/>
      <c r="AQ146" s="159"/>
      <c r="AR146" s="159"/>
      <c r="AS146" s="169"/>
      <c r="AT146" s="169"/>
      <c r="AU146" s="169"/>
      <c r="AV146" s="169"/>
      <c r="AW146" s="169"/>
    </row>
    <row r="147" spans="2:49" s="42" customFormat="1" ht="36.75" customHeight="1">
      <c r="B147" s="5">
        <v>54</v>
      </c>
      <c r="C147" s="438" t="s">
        <v>105</v>
      </c>
      <c r="D147" s="300">
        <v>11</v>
      </c>
      <c r="E147" s="297">
        <v>54</v>
      </c>
      <c r="F147" s="288"/>
      <c r="G147" s="391"/>
      <c r="H147" s="300">
        <v>11</v>
      </c>
      <c r="I147" s="297">
        <v>54</v>
      </c>
      <c r="J147" s="287"/>
      <c r="K147" s="287"/>
      <c r="L147" s="300">
        <v>11</v>
      </c>
      <c r="M147" s="297">
        <v>54</v>
      </c>
      <c r="N147" s="287"/>
      <c r="O147" s="287"/>
      <c r="P147" s="300">
        <v>11</v>
      </c>
      <c r="Q147" s="297">
        <v>54</v>
      </c>
      <c r="R147" s="44"/>
      <c r="S147" s="44"/>
      <c r="T147" s="45"/>
      <c r="U147" s="43"/>
      <c r="V147" s="79"/>
      <c r="W147" s="82"/>
      <c r="X147" s="68"/>
      <c r="Y147" s="68"/>
      <c r="Z147" s="44"/>
      <c r="AA147" s="145"/>
      <c r="AB147" s="147"/>
      <c r="AC147" s="172"/>
      <c r="AD147" s="159"/>
      <c r="AE147" s="142"/>
      <c r="AF147" s="142"/>
      <c r="AG147" s="159"/>
      <c r="AH147" s="159"/>
      <c r="AI147" s="142"/>
      <c r="AJ147" s="142"/>
      <c r="AK147" s="159"/>
      <c r="AL147" s="159"/>
      <c r="AM147" s="142"/>
      <c r="AN147" s="142"/>
      <c r="AO147" s="159"/>
      <c r="AP147" s="159"/>
      <c r="AQ147" s="159"/>
      <c r="AR147" s="159"/>
      <c r="AS147" s="169"/>
      <c r="AT147" s="169"/>
      <c r="AU147" s="169"/>
      <c r="AV147" s="169"/>
      <c r="AW147" s="169"/>
    </row>
    <row r="148" spans="2:49" s="42" customFormat="1" ht="36.75" customHeight="1">
      <c r="B148" s="5">
        <v>55</v>
      </c>
      <c r="C148" s="438" t="s">
        <v>106</v>
      </c>
      <c r="D148" s="300">
        <v>10</v>
      </c>
      <c r="E148" s="297">
        <v>55</v>
      </c>
      <c r="F148" s="288"/>
      <c r="G148" s="391"/>
      <c r="H148" s="300">
        <v>10</v>
      </c>
      <c r="I148" s="297">
        <v>55</v>
      </c>
      <c r="J148" s="287"/>
      <c r="K148" s="287"/>
      <c r="L148" s="300">
        <v>10</v>
      </c>
      <c r="M148" s="297">
        <v>55</v>
      </c>
      <c r="N148" s="287"/>
      <c r="O148" s="287"/>
      <c r="P148" s="300">
        <v>10</v>
      </c>
      <c r="Q148" s="297">
        <v>55</v>
      </c>
      <c r="R148" s="47"/>
      <c r="S148" s="47"/>
      <c r="T148" s="45"/>
      <c r="U148" s="43"/>
      <c r="V148" s="79"/>
      <c r="W148" s="82"/>
      <c r="X148" s="68"/>
      <c r="Y148" s="68"/>
      <c r="Z148" s="47"/>
      <c r="AA148" s="150"/>
      <c r="AB148" s="147"/>
      <c r="AC148" s="172"/>
      <c r="AD148" s="159"/>
      <c r="AE148" s="142"/>
      <c r="AF148" s="142"/>
      <c r="AG148" s="159"/>
      <c r="AH148" s="159"/>
      <c r="AI148" s="142"/>
      <c r="AJ148" s="142"/>
      <c r="AK148" s="159"/>
      <c r="AL148" s="159"/>
      <c r="AM148" s="142"/>
      <c r="AN148" s="142"/>
      <c r="AO148" s="159"/>
      <c r="AP148" s="159"/>
      <c r="AQ148" s="159"/>
      <c r="AR148" s="159"/>
      <c r="AS148" s="169"/>
      <c r="AT148" s="169"/>
      <c r="AU148" s="169"/>
      <c r="AV148" s="169"/>
      <c r="AW148" s="169"/>
    </row>
    <row r="149" spans="2:49" s="42" customFormat="1" ht="36.75" customHeight="1" thickBot="1">
      <c r="B149" s="5">
        <v>56</v>
      </c>
      <c r="C149" s="439" t="s">
        <v>107</v>
      </c>
      <c r="D149" s="279">
        <v>9</v>
      </c>
      <c r="E149" s="298">
        <v>56</v>
      </c>
      <c r="F149" s="301"/>
      <c r="G149" s="392"/>
      <c r="H149" s="279">
        <v>9</v>
      </c>
      <c r="I149" s="298">
        <v>56</v>
      </c>
      <c r="J149" s="302"/>
      <c r="K149" s="302"/>
      <c r="L149" s="279">
        <v>9</v>
      </c>
      <c r="M149" s="298">
        <v>56</v>
      </c>
      <c r="N149" s="302"/>
      <c r="O149" s="303"/>
      <c r="P149" s="279">
        <v>9</v>
      </c>
      <c r="Q149" s="298">
        <v>56</v>
      </c>
      <c r="R149" s="52"/>
      <c r="S149" s="52"/>
      <c r="T149" s="53"/>
      <c r="U149" s="51"/>
      <c r="V149" s="80"/>
      <c r="W149" s="81"/>
      <c r="X149" s="72"/>
      <c r="Y149" s="72"/>
      <c r="Z149" s="52"/>
      <c r="AA149" s="151"/>
      <c r="AB149" s="152"/>
      <c r="AC149" s="174"/>
      <c r="AD149" s="159"/>
      <c r="AE149" s="142"/>
      <c r="AF149" s="142"/>
      <c r="AG149" s="159"/>
      <c r="AH149" s="159"/>
      <c r="AI149" s="142"/>
      <c r="AJ149" s="142"/>
      <c r="AK149" s="159"/>
      <c r="AL149" s="159"/>
      <c r="AM149" s="142"/>
      <c r="AN149" s="142"/>
      <c r="AO149" s="159"/>
      <c r="AP149" s="159"/>
      <c r="AQ149" s="159"/>
      <c r="AR149" s="159"/>
      <c r="AS149" s="169"/>
      <c r="AT149" s="169"/>
      <c r="AU149" s="169"/>
      <c r="AV149" s="169"/>
      <c r="AW149" s="169"/>
    </row>
    <row r="150" spans="2:49" s="42" customFormat="1" ht="36.75" customHeight="1" thickTop="1">
      <c r="B150" s="217">
        <v>57</v>
      </c>
      <c r="C150" s="433" t="s">
        <v>108</v>
      </c>
      <c r="D150" s="299">
        <v>8</v>
      </c>
      <c r="E150" s="296">
        <v>57</v>
      </c>
      <c r="F150" s="295"/>
      <c r="G150" s="390"/>
      <c r="H150" s="299">
        <v>8</v>
      </c>
      <c r="I150" s="296">
        <v>57</v>
      </c>
      <c r="J150" s="294"/>
      <c r="K150" s="294"/>
      <c r="L150" s="299">
        <v>8</v>
      </c>
      <c r="M150" s="296">
        <v>57</v>
      </c>
      <c r="N150" s="294"/>
      <c r="O150" s="304"/>
      <c r="P150" s="299">
        <v>8</v>
      </c>
      <c r="Q150" s="296">
        <v>57</v>
      </c>
      <c r="R150" s="50"/>
      <c r="S150" s="50"/>
      <c r="T150" s="49"/>
      <c r="U150" s="48"/>
      <c r="V150" s="78"/>
      <c r="W150" s="83"/>
      <c r="X150" s="64"/>
      <c r="Y150" s="64"/>
      <c r="Z150" s="50"/>
      <c r="AA150" s="148"/>
      <c r="AB150" s="149"/>
      <c r="AC150" s="173"/>
      <c r="AD150" s="159"/>
      <c r="AE150" s="142"/>
      <c r="AF150" s="142"/>
      <c r="AG150" s="159"/>
      <c r="AH150" s="159"/>
      <c r="AI150" s="142"/>
      <c r="AJ150" s="142"/>
      <c r="AK150" s="159"/>
      <c r="AL150" s="159"/>
      <c r="AM150" s="142"/>
      <c r="AN150" s="142"/>
      <c r="AO150" s="159"/>
      <c r="AP150" s="159"/>
      <c r="AQ150" s="159"/>
      <c r="AR150" s="159"/>
      <c r="AS150" s="169"/>
      <c r="AT150" s="169"/>
      <c r="AU150" s="169"/>
      <c r="AV150" s="169"/>
      <c r="AW150" s="169"/>
    </row>
    <row r="151" spans="2:49" s="42" customFormat="1" ht="36.75" customHeight="1">
      <c r="B151" s="5">
        <v>58</v>
      </c>
      <c r="C151" s="434" t="s">
        <v>109</v>
      </c>
      <c r="D151" s="300">
        <v>7</v>
      </c>
      <c r="E151" s="297">
        <v>58</v>
      </c>
      <c r="F151" s="288"/>
      <c r="G151" s="391"/>
      <c r="H151" s="300">
        <v>7</v>
      </c>
      <c r="I151" s="297">
        <v>58</v>
      </c>
      <c r="J151" s="287"/>
      <c r="K151" s="287"/>
      <c r="L151" s="300">
        <v>7</v>
      </c>
      <c r="M151" s="297">
        <v>58</v>
      </c>
      <c r="N151" s="287"/>
      <c r="O151" s="289"/>
      <c r="P151" s="300">
        <v>7</v>
      </c>
      <c r="Q151" s="297">
        <v>58</v>
      </c>
      <c r="R151" s="47"/>
      <c r="S151" s="47"/>
      <c r="T151" s="45"/>
      <c r="U151" s="43"/>
      <c r="V151" s="79"/>
      <c r="W151" s="82"/>
      <c r="X151" s="68"/>
      <c r="Y151" s="68"/>
      <c r="Z151" s="47"/>
      <c r="AA151" s="150"/>
      <c r="AB151" s="147"/>
      <c r="AC151" s="172"/>
      <c r="AD151" s="159"/>
      <c r="AE151" s="142"/>
      <c r="AF151" s="142"/>
      <c r="AG151" s="159"/>
      <c r="AH151" s="159"/>
      <c r="AI151" s="142"/>
      <c r="AJ151" s="142"/>
      <c r="AK151" s="159"/>
      <c r="AL151" s="159"/>
      <c r="AM151" s="142"/>
      <c r="AN151" s="142"/>
      <c r="AO151" s="159"/>
      <c r="AP151" s="159"/>
      <c r="AQ151" s="159"/>
      <c r="AR151" s="159"/>
      <c r="AS151" s="169"/>
      <c r="AT151" s="169"/>
      <c r="AU151" s="169"/>
      <c r="AV151" s="169"/>
      <c r="AW151" s="169"/>
    </row>
    <row r="152" spans="2:49" s="42" customFormat="1" ht="36.75" customHeight="1">
      <c r="B152" s="5">
        <v>59</v>
      </c>
      <c r="C152" s="443" t="s">
        <v>110</v>
      </c>
      <c r="D152" s="300">
        <v>6</v>
      </c>
      <c r="E152" s="297">
        <v>59</v>
      </c>
      <c r="F152" s="288"/>
      <c r="G152" s="391"/>
      <c r="H152" s="300">
        <v>6</v>
      </c>
      <c r="I152" s="297">
        <v>59</v>
      </c>
      <c r="J152" s="287"/>
      <c r="K152" s="287"/>
      <c r="L152" s="300">
        <v>6</v>
      </c>
      <c r="M152" s="297">
        <v>59</v>
      </c>
      <c r="N152" s="287"/>
      <c r="O152" s="289"/>
      <c r="P152" s="300">
        <v>6</v>
      </c>
      <c r="Q152" s="297">
        <v>59</v>
      </c>
      <c r="R152" s="47"/>
      <c r="S152" s="47"/>
      <c r="T152" s="45"/>
      <c r="U152" s="43"/>
      <c r="V152" s="79"/>
      <c r="W152" s="82"/>
      <c r="X152" s="68"/>
      <c r="Y152" s="68"/>
      <c r="Z152" s="47"/>
      <c r="AA152" s="150"/>
      <c r="AB152" s="147"/>
      <c r="AC152" s="172"/>
      <c r="AD152" s="159"/>
      <c r="AE152" s="142"/>
      <c r="AF152" s="142"/>
      <c r="AG152" s="159"/>
      <c r="AH152" s="159"/>
      <c r="AI152" s="142"/>
      <c r="AJ152" s="142"/>
      <c r="AK152" s="159"/>
      <c r="AL152" s="159"/>
      <c r="AM152" s="142"/>
      <c r="AN152" s="142"/>
      <c r="AO152" s="159"/>
      <c r="AP152" s="159"/>
      <c r="AQ152" s="159"/>
      <c r="AR152" s="159"/>
      <c r="AS152" s="169"/>
      <c r="AT152" s="169"/>
      <c r="AU152" s="169"/>
      <c r="AV152" s="169"/>
      <c r="AW152" s="169"/>
    </row>
    <row r="153" spans="2:49" s="42" customFormat="1" ht="36.75" customHeight="1">
      <c r="B153" s="5">
        <v>60</v>
      </c>
      <c r="C153" s="434" t="s">
        <v>111</v>
      </c>
      <c r="D153" s="300">
        <v>5</v>
      </c>
      <c r="E153" s="297">
        <v>60</v>
      </c>
      <c r="F153" s="288"/>
      <c r="G153" s="391"/>
      <c r="H153" s="300">
        <v>5</v>
      </c>
      <c r="I153" s="297">
        <v>60</v>
      </c>
      <c r="J153" s="287"/>
      <c r="K153" s="287"/>
      <c r="L153" s="300">
        <v>5</v>
      </c>
      <c r="M153" s="297">
        <v>60</v>
      </c>
      <c r="N153" s="287"/>
      <c r="O153" s="289"/>
      <c r="P153" s="300">
        <v>5</v>
      </c>
      <c r="Q153" s="297">
        <v>60</v>
      </c>
      <c r="R153" s="47"/>
      <c r="S153" s="47"/>
      <c r="T153" s="45"/>
      <c r="U153" s="43"/>
      <c r="V153" s="79"/>
      <c r="W153" s="82"/>
      <c r="X153" s="68"/>
      <c r="Y153" s="68"/>
      <c r="Z153" s="47"/>
      <c r="AA153" s="150"/>
      <c r="AB153" s="147"/>
      <c r="AC153" s="172"/>
      <c r="AD153" s="159"/>
      <c r="AE153" s="142"/>
      <c r="AF153" s="142"/>
      <c r="AG153" s="159"/>
      <c r="AH153" s="159"/>
      <c r="AI153" s="142"/>
      <c r="AJ153" s="142"/>
      <c r="AK153" s="159"/>
      <c r="AL153" s="159"/>
      <c r="AM153" s="142"/>
      <c r="AN153" s="142"/>
      <c r="AO153" s="159"/>
      <c r="AP153" s="159"/>
      <c r="AQ153" s="159"/>
      <c r="AR153" s="159"/>
      <c r="AS153" s="169"/>
      <c r="AT153" s="169"/>
      <c r="AU153" s="169"/>
      <c r="AV153" s="169"/>
      <c r="AW153" s="169"/>
    </row>
    <row r="154" spans="2:49" s="42" customFormat="1" ht="36.75" customHeight="1">
      <c r="B154" s="5">
        <v>61</v>
      </c>
      <c r="C154" s="434" t="s">
        <v>112</v>
      </c>
      <c r="D154" s="300">
        <v>4</v>
      </c>
      <c r="E154" s="297">
        <v>61</v>
      </c>
      <c r="F154" s="288"/>
      <c r="G154" s="391"/>
      <c r="H154" s="300">
        <v>4</v>
      </c>
      <c r="I154" s="297">
        <v>61</v>
      </c>
      <c r="J154" s="287"/>
      <c r="K154" s="287"/>
      <c r="L154" s="300">
        <v>4</v>
      </c>
      <c r="M154" s="297">
        <v>61</v>
      </c>
      <c r="N154" s="287"/>
      <c r="O154" s="289"/>
      <c r="P154" s="300">
        <v>4</v>
      </c>
      <c r="Q154" s="297">
        <v>61</v>
      </c>
      <c r="R154" s="47"/>
      <c r="S154" s="47"/>
      <c r="T154" s="45"/>
      <c r="U154" s="43"/>
      <c r="V154" s="79"/>
      <c r="W154" s="82"/>
      <c r="X154" s="68"/>
      <c r="Y154" s="68"/>
      <c r="Z154" s="47"/>
      <c r="AA154" s="150"/>
      <c r="AB154" s="147"/>
      <c r="AC154" s="172"/>
      <c r="AD154" s="159"/>
      <c r="AE154" s="142"/>
      <c r="AF154" s="142"/>
      <c r="AG154" s="159"/>
      <c r="AH154" s="159"/>
      <c r="AI154" s="142"/>
      <c r="AJ154" s="142"/>
      <c r="AK154" s="159"/>
      <c r="AL154" s="159"/>
      <c r="AM154" s="142"/>
      <c r="AN154" s="142"/>
      <c r="AO154" s="159"/>
      <c r="AP154" s="159"/>
      <c r="AQ154" s="159"/>
      <c r="AR154" s="159"/>
      <c r="AS154" s="169"/>
      <c r="AT154" s="169"/>
      <c r="AU154" s="169"/>
      <c r="AV154" s="169"/>
      <c r="AW154" s="169"/>
    </row>
    <row r="155" spans="2:49" s="42" customFormat="1" ht="36.75" customHeight="1">
      <c r="B155" s="5">
        <v>62</v>
      </c>
      <c r="C155" s="434" t="s">
        <v>113</v>
      </c>
      <c r="D155" s="300">
        <v>3</v>
      </c>
      <c r="E155" s="297">
        <v>62</v>
      </c>
      <c r="F155" s="288"/>
      <c r="G155" s="391"/>
      <c r="H155" s="300">
        <v>3</v>
      </c>
      <c r="I155" s="297">
        <v>62</v>
      </c>
      <c r="J155" s="287"/>
      <c r="K155" s="287"/>
      <c r="L155" s="300">
        <v>3</v>
      </c>
      <c r="M155" s="297">
        <v>62</v>
      </c>
      <c r="N155" s="287"/>
      <c r="O155" s="289"/>
      <c r="P155" s="300">
        <v>3</v>
      </c>
      <c r="Q155" s="297">
        <v>62</v>
      </c>
      <c r="R155" s="47"/>
      <c r="S155" s="47"/>
      <c r="T155" s="45"/>
      <c r="U155" s="43"/>
      <c r="V155" s="79"/>
      <c r="W155" s="82"/>
      <c r="X155" s="68"/>
      <c r="Y155" s="68"/>
      <c r="Z155" s="47"/>
      <c r="AA155" s="150"/>
      <c r="AB155" s="147"/>
      <c r="AC155" s="172"/>
      <c r="AD155" s="159"/>
      <c r="AE155" s="142"/>
      <c r="AF155" s="142"/>
      <c r="AG155" s="159"/>
      <c r="AH155" s="159"/>
      <c r="AI155" s="142"/>
      <c r="AJ155" s="142"/>
      <c r="AK155" s="159"/>
      <c r="AL155" s="159"/>
      <c r="AM155" s="142"/>
      <c r="AN155" s="142"/>
      <c r="AO155" s="159"/>
      <c r="AP155" s="159"/>
      <c r="AQ155" s="159"/>
      <c r="AR155" s="159"/>
      <c r="AS155" s="169"/>
      <c r="AT155" s="169"/>
      <c r="AU155" s="169"/>
      <c r="AV155" s="169"/>
      <c r="AW155" s="169"/>
    </row>
    <row r="156" spans="2:49" s="42" customFormat="1" ht="36.75" customHeight="1">
      <c r="B156" s="5">
        <v>63</v>
      </c>
      <c r="C156" s="434" t="s">
        <v>114</v>
      </c>
      <c r="D156" s="300">
        <v>2</v>
      </c>
      <c r="E156" s="297">
        <v>63</v>
      </c>
      <c r="F156" s="288"/>
      <c r="G156" s="391"/>
      <c r="H156" s="300">
        <v>2</v>
      </c>
      <c r="I156" s="297">
        <v>63</v>
      </c>
      <c r="J156" s="287"/>
      <c r="K156" s="287"/>
      <c r="L156" s="300">
        <v>2</v>
      </c>
      <c r="M156" s="297">
        <v>63</v>
      </c>
      <c r="N156" s="287"/>
      <c r="O156" s="289"/>
      <c r="P156" s="300">
        <v>2</v>
      </c>
      <c r="Q156" s="297">
        <v>63</v>
      </c>
      <c r="R156" s="47"/>
      <c r="S156" s="47"/>
      <c r="T156" s="45"/>
      <c r="U156" s="43"/>
      <c r="V156" s="79"/>
      <c r="W156" s="82"/>
      <c r="X156" s="68"/>
      <c r="Y156" s="68"/>
      <c r="Z156" s="47"/>
      <c r="AA156" s="150"/>
      <c r="AB156" s="147"/>
      <c r="AC156" s="172"/>
      <c r="AD156" s="159"/>
      <c r="AE156" s="142"/>
      <c r="AF156" s="142"/>
      <c r="AG156" s="159"/>
      <c r="AH156" s="159"/>
      <c r="AI156" s="142"/>
      <c r="AJ156" s="142"/>
      <c r="AK156" s="159"/>
      <c r="AL156" s="159"/>
      <c r="AM156" s="142"/>
      <c r="AN156" s="142"/>
      <c r="AO156" s="159"/>
      <c r="AP156" s="159"/>
      <c r="AQ156" s="159"/>
      <c r="AR156" s="159"/>
      <c r="AS156" s="169"/>
      <c r="AT156" s="169"/>
      <c r="AU156" s="169"/>
      <c r="AV156" s="169"/>
      <c r="AW156" s="169"/>
    </row>
    <row r="157" spans="2:49" s="42" customFormat="1" ht="36.75" customHeight="1" thickBot="1">
      <c r="B157" s="219">
        <v>64</v>
      </c>
      <c r="C157" s="436" t="s">
        <v>115</v>
      </c>
      <c r="D157" s="279">
        <v>1</v>
      </c>
      <c r="E157" s="298">
        <v>64</v>
      </c>
      <c r="F157" s="301"/>
      <c r="G157" s="392"/>
      <c r="H157" s="279">
        <v>1</v>
      </c>
      <c r="I157" s="298">
        <v>64</v>
      </c>
      <c r="J157" s="302"/>
      <c r="K157" s="302"/>
      <c r="L157" s="279">
        <v>1</v>
      </c>
      <c r="M157" s="298">
        <v>64</v>
      </c>
      <c r="N157" s="302"/>
      <c r="O157" s="303"/>
      <c r="P157" s="279">
        <v>1</v>
      </c>
      <c r="Q157" s="298">
        <v>64</v>
      </c>
      <c r="R157" s="51"/>
      <c r="S157" s="52"/>
      <c r="T157" s="55"/>
      <c r="U157" s="52"/>
      <c r="V157" s="80"/>
      <c r="W157" s="81"/>
      <c r="X157" s="70"/>
      <c r="Y157" s="70"/>
      <c r="Z157" s="52"/>
      <c r="AA157" s="151"/>
      <c r="AB157" s="153"/>
      <c r="AC157" s="175"/>
      <c r="AD157" s="159"/>
      <c r="AE157" s="142"/>
      <c r="AF157" s="142"/>
      <c r="AG157" s="159"/>
      <c r="AH157" s="159"/>
      <c r="AI157" s="142"/>
      <c r="AJ157" s="142"/>
      <c r="AK157" s="159"/>
      <c r="AL157" s="159"/>
      <c r="AM157" s="142"/>
      <c r="AN157" s="142"/>
      <c r="AO157" s="159"/>
      <c r="AP157" s="159"/>
      <c r="AQ157" s="159"/>
      <c r="AR157" s="159"/>
      <c r="AS157" s="169"/>
      <c r="AT157" s="169"/>
      <c r="AU157" s="169"/>
      <c r="AV157" s="169"/>
      <c r="AW157" s="169"/>
    </row>
    <row r="158" spans="2:49" ht="26.1" customHeight="1" thickTop="1"/>
    <row r="166" spans="1:49">
      <c r="A166" s="346"/>
    </row>
    <row r="167" spans="1:49" ht="30.75" hidden="1" thickBot="1">
      <c r="A167" s="127"/>
      <c r="B167" s="106"/>
      <c r="C167" s="183"/>
      <c r="D167" s="183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06"/>
      <c r="S167" s="106"/>
      <c r="T167" s="106"/>
      <c r="U167" s="106"/>
      <c r="V167" s="128"/>
      <c r="W167" s="128"/>
      <c r="X167" s="129"/>
      <c r="Y167" s="107"/>
      <c r="Z167" s="235"/>
      <c r="AA167" s="143"/>
      <c r="AC167" s="160"/>
      <c r="AD167" s="160"/>
      <c r="AE167" s="143"/>
      <c r="AF167" s="143"/>
      <c r="AG167" s="160"/>
      <c r="AH167" s="160"/>
      <c r="AI167" s="143"/>
      <c r="AJ167" s="143"/>
      <c r="AK167" s="160"/>
      <c r="AL167" s="160"/>
      <c r="AM167" s="143"/>
      <c r="AN167" s="143"/>
      <c r="AO167" s="160"/>
      <c r="AP167" s="160"/>
      <c r="AQ167" s="160"/>
      <c r="AR167" s="160"/>
      <c r="AS167" s="167"/>
      <c r="AT167" s="167"/>
      <c r="AU167" s="167"/>
      <c r="AV167" s="167"/>
      <c r="AW167" s="167"/>
    </row>
    <row r="168" spans="1:49" ht="91.5" hidden="1" thickBot="1">
      <c r="A168" s="130"/>
      <c r="B168" s="105"/>
      <c r="C168" s="246"/>
      <c r="D168" s="339" t="s">
        <v>30</v>
      </c>
      <c r="E168" s="340"/>
      <c r="F168" s="340"/>
      <c r="G168" s="340"/>
      <c r="H168" s="340"/>
      <c r="I168" s="340"/>
      <c r="J168" s="341"/>
      <c r="K168" s="340"/>
      <c r="L168" s="340"/>
      <c r="M168" s="340"/>
      <c r="N168" s="341"/>
      <c r="O168" s="340"/>
      <c r="P168" s="340"/>
      <c r="Q168" s="340"/>
      <c r="R168" s="342"/>
      <c r="S168" s="342"/>
      <c r="T168" s="343"/>
      <c r="U168" s="105"/>
      <c r="V168" s="93"/>
      <c r="W168" s="93"/>
      <c r="X168" s="94"/>
      <c r="Y168" s="108"/>
      <c r="Z168" s="236"/>
    </row>
    <row r="169" spans="1:49" hidden="1">
      <c r="A169" s="131"/>
      <c r="B169" s="109"/>
      <c r="C169" s="105"/>
      <c r="D169" s="110"/>
      <c r="E169" s="110"/>
      <c r="F169" s="110"/>
      <c r="G169" s="110"/>
      <c r="H169" s="111"/>
      <c r="I169" s="111"/>
      <c r="J169" s="111"/>
      <c r="K169" s="111"/>
      <c r="L169" s="111"/>
      <c r="M169" s="111"/>
      <c r="N169" s="111"/>
      <c r="O169" s="111"/>
      <c r="P169" s="110"/>
      <c r="Q169" s="110"/>
      <c r="R169" s="110"/>
      <c r="S169" s="110"/>
      <c r="T169" s="105"/>
      <c r="U169" s="105"/>
      <c r="V169" s="93"/>
      <c r="W169" s="93"/>
      <c r="X169" s="94"/>
      <c r="Y169" s="108"/>
      <c r="Z169" s="234"/>
    </row>
    <row r="170" spans="1:49" ht="35.25" hidden="1" thickBot="1">
      <c r="A170" s="132"/>
      <c r="B170" s="249"/>
      <c r="C170" s="250"/>
      <c r="D170" s="250"/>
      <c r="E170" s="251"/>
      <c r="F170" s="251"/>
      <c r="G170" s="253"/>
      <c r="H170" s="252"/>
      <c r="I170" s="251"/>
      <c r="J170" s="133"/>
      <c r="K170" s="133"/>
      <c r="L170" s="134"/>
      <c r="M170" s="133"/>
      <c r="N170" s="133"/>
      <c r="O170" s="133"/>
      <c r="P170" s="134"/>
      <c r="Q170" s="133"/>
      <c r="R170" s="133"/>
      <c r="S170" s="133"/>
      <c r="T170" s="135"/>
      <c r="U170" s="135"/>
      <c r="V170" s="136"/>
      <c r="W170" s="136"/>
      <c r="X170" s="137"/>
      <c r="Y170" s="138"/>
      <c r="Z170" s="234"/>
    </row>
    <row r="171" spans="1:49" ht="45" hidden="1">
      <c r="A171" s="184"/>
      <c r="B171" s="58"/>
      <c r="C171" s="185"/>
      <c r="D171" s="186"/>
      <c r="E171" s="154" t="s">
        <v>5</v>
      </c>
      <c r="F171" s="118"/>
      <c r="G171" s="123"/>
      <c r="H171" s="187"/>
      <c r="I171" s="154" t="s">
        <v>10</v>
      </c>
      <c r="J171" s="118"/>
      <c r="K171" s="123"/>
      <c r="L171" s="187"/>
      <c r="M171" s="154" t="s">
        <v>9</v>
      </c>
      <c r="N171" s="118"/>
      <c r="O171" s="123"/>
      <c r="P171" s="187"/>
      <c r="Q171" s="154" t="s">
        <v>8</v>
      </c>
      <c r="R171" s="118"/>
      <c r="S171" s="123"/>
      <c r="T171" s="188"/>
      <c r="U171" s="189"/>
      <c r="V171" s="119" t="s">
        <v>24</v>
      </c>
      <c r="W171" s="119"/>
      <c r="X171" s="117"/>
      <c r="Y171" s="156"/>
      <c r="Z171" s="237"/>
      <c r="AA171" s="144"/>
      <c r="AB171" s="190"/>
      <c r="AC171" s="161"/>
      <c r="AD171" s="161"/>
      <c r="AE171" s="144"/>
      <c r="AF171" s="144"/>
      <c r="AG171" s="161"/>
      <c r="AH171" s="161"/>
      <c r="AI171" s="144"/>
      <c r="AJ171" s="144"/>
      <c r="AK171" s="161"/>
      <c r="AL171" s="161"/>
      <c r="AM171" s="144"/>
      <c r="AN171" s="144"/>
      <c r="AO171" s="161"/>
      <c r="AP171" s="161"/>
      <c r="AQ171" s="161"/>
      <c r="AR171" s="161"/>
      <c r="AS171" s="191"/>
      <c r="AT171" s="191"/>
      <c r="AU171" s="191"/>
      <c r="AV171" s="191"/>
      <c r="AW171" s="191"/>
    </row>
    <row r="172" spans="1:49" ht="26.25" hidden="1">
      <c r="A172" s="120"/>
      <c r="B172" s="239" t="s">
        <v>26</v>
      </c>
      <c r="C172" s="60"/>
      <c r="D172" s="112" t="s">
        <v>7</v>
      </c>
      <c r="E172" s="113"/>
      <c r="F172" s="114" t="s">
        <v>4</v>
      </c>
      <c r="G172" s="124" t="s">
        <v>6</v>
      </c>
      <c r="H172" s="112" t="s">
        <v>7</v>
      </c>
      <c r="I172" s="113"/>
      <c r="J172" s="114" t="s">
        <v>4</v>
      </c>
      <c r="K172" s="124" t="s">
        <v>6</v>
      </c>
      <c r="L172" s="112" t="s">
        <v>7</v>
      </c>
      <c r="M172" s="113"/>
      <c r="N172" s="114" t="s">
        <v>4</v>
      </c>
      <c r="O172" s="124" t="s">
        <v>6</v>
      </c>
      <c r="P172" s="112" t="s">
        <v>7</v>
      </c>
      <c r="Q172" s="113"/>
      <c r="R172" s="114" t="s">
        <v>4</v>
      </c>
      <c r="S172" s="124" t="s">
        <v>6</v>
      </c>
      <c r="T172" s="112" t="s">
        <v>3</v>
      </c>
      <c r="U172" s="126"/>
      <c r="V172" s="116" t="s">
        <v>4</v>
      </c>
      <c r="W172" s="116" t="s">
        <v>6</v>
      </c>
      <c r="X172" s="115" t="s">
        <v>11</v>
      </c>
      <c r="Y172" s="121"/>
      <c r="Z172" s="238"/>
      <c r="AA172" s="144" t="s">
        <v>5</v>
      </c>
      <c r="AB172" s="59"/>
      <c r="AC172" s="161"/>
      <c r="AD172" s="161"/>
      <c r="AE172" s="144" t="s">
        <v>10</v>
      </c>
      <c r="AF172" s="59"/>
      <c r="AG172" s="161"/>
      <c r="AH172" s="161"/>
      <c r="AI172" s="144" t="s">
        <v>9</v>
      </c>
      <c r="AJ172" s="59"/>
      <c r="AK172" s="161"/>
      <c r="AL172" s="161"/>
      <c r="AM172" s="144" t="s">
        <v>8</v>
      </c>
      <c r="AN172" s="59"/>
      <c r="AO172" s="161"/>
      <c r="AP172" s="161"/>
      <c r="AQ172" s="161"/>
      <c r="AR172" s="161"/>
      <c r="AS172" s="168"/>
      <c r="AT172" s="168"/>
      <c r="AU172" s="168"/>
      <c r="AV172" s="168"/>
      <c r="AW172" s="168"/>
    </row>
    <row r="173" spans="1:49" ht="36" hidden="1" thickBot="1">
      <c r="A173" s="139"/>
      <c r="B173" s="220" t="s">
        <v>0</v>
      </c>
      <c r="C173" s="122" t="s">
        <v>15</v>
      </c>
      <c r="D173" s="92" t="s">
        <v>1</v>
      </c>
      <c r="E173" s="62" t="s">
        <v>2</v>
      </c>
      <c r="F173" s="62" t="s">
        <v>13</v>
      </c>
      <c r="G173" s="125" t="s">
        <v>13</v>
      </c>
      <c r="H173" s="92" t="s">
        <v>1</v>
      </c>
      <c r="I173" s="62" t="s">
        <v>2</v>
      </c>
      <c r="J173" s="62" t="s">
        <v>13</v>
      </c>
      <c r="K173" s="125" t="s">
        <v>13</v>
      </c>
      <c r="L173" s="92" t="s">
        <v>1</v>
      </c>
      <c r="M173" s="62" t="s">
        <v>2</v>
      </c>
      <c r="N173" s="62" t="s">
        <v>13</v>
      </c>
      <c r="O173" s="125" t="s">
        <v>13</v>
      </c>
      <c r="P173" s="92" t="s">
        <v>1</v>
      </c>
      <c r="Q173" s="62" t="s">
        <v>2</v>
      </c>
      <c r="R173" s="62" t="s">
        <v>13</v>
      </c>
      <c r="S173" s="125" t="s">
        <v>13</v>
      </c>
      <c r="T173" s="195" t="s">
        <v>1</v>
      </c>
      <c r="U173" s="124" t="s">
        <v>2</v>
      </c>
      <c r="V173" s="116" t="s">
        <v>13</v>
      </c>
      <c r="W173" s="116" t="s">
        <v>13</v>
      </c>
      <c r="X173" s="116" t="s">
        <v>12</v>
      </c>
      <c r="Y173" s="196" t="s">
        <v>14</v>
      </c>
      <c r="Z173" s="238"/>
      <c r="AA173" s="144"/>
      <c r="AB173" s="144"/>
      <c r="AC173" s="161"/>
      <c r="AD173" s="161"/>
      <c r="AE173" s="144"/>
      <c r="AF173" s="144"/>
      <c r="AG173" s="161"/>
      <c r="AH173" s="161"/>
      <c r="AI173" s="144"/>
      <c r="AJ173" s="144"/>
      <c r="AK173" s="161"/>
      <c r="AL173" s="161"/>
      <c r="AM173" s="144"/>
      <c r="AN173" s="144"/>
      <c r="AO173" s="161"/>
      <c r="AP173" s="161"/>
      <c r="AQ173" s="161"/>
      <c r="AR173" s="161"/>
      <c r="AS173" s="168"/>
      <c r="AT173" s="168"/>
      <c r="AU173" s="168"/>
      <c r="AV173" s="168"/>
      <c r="AW173" s="168"/>
    </row>
    <row r="174" spans="1:49" ht="35.25" hidden="1">
      <c r="A174" s="268">
        <v>1</v>
      </c>
      <c r="B174" s="269"/>
      <c r="C174" s="308"/>
      <c r="D174" s="263"/>
      <c r="E174" s="261"/>
      <c r="F174" s="176">
        <f t="shared" ref="F174:F237" si="35">IF((D174+E174)&lt;1,0,IF(D174&gt;E174,3,IF(D174=E174,1,0)))</f>
        <v>0</v>
      </c>
      <c r="G174" s="177">
        <f>IF(D174&gt;(E174+11),10,IF((D174+10)&lt;E174,-10,D174-E174))</f>
        <v>0</v>
      </c>
      <c r="H174" s="263"/>
      <c r="I174" s="261"/>
      <c r="J174" s="176">
        <f t="shared" ref="J174:J237" si="36">IF((H174+I174)&lt;1,0,IF(H174&gt;I174,3,IF(H174=I174,1,0)))</f>
        <v>0</v>
      </c>
      <c r="K174" s="177">
        <f t="shared" ref="K174:K237" si="37">IF(H174&gt;(I174+11),10,IF((H174+10)&lt;I174,-10,H174-I174))</f>
        <v>0</v>
      </c>
      <c r="L174" s="263"/>
      <c r="M174" s="261"/>
      <c r="N174" s="176">
        <f t="shared" ref="N174:N237" si="38">IF((L174+M174)&lt;1,0,IF(L174&gt;M174,3,IF(L174=M174,1,0)))</f>
        <v>0</v>
      </c>
      <c r="O174" s="177">
        <f t="shared" ref="O174:O237" si="39">IF(L174&gt;(M174+11),10,IF((L174+10)&lt;M174,-10,L174-M174))</f>
        <v>0</v>
      </c>
      <c r="P174" s="263"/>
      <c r="Q174" s="261"/>
      <c r="R174" s="176">
        <f t="shared" ref="R174:R237" si="40">IF((P174+Q174)&lt;1,0,IF(P174&gt;Q174,3,IF(P174=Q174,1,0)))</f>
        <v>0</v>
      </c>
      <c r="S174" s="177">
        <f t="shared" ref="S174:S237" si="41">IF(P174&gt;(Q174+11),10,IF((P174+10)&lt;Q174,-10,P174-Q174))</f>
        <v>0</v>
      </c>
      <c r="T174" s="200">
        <f t="shared" ref="T174:T237" si="42">+D174+H174+L174+P174</f>
        <v>0</v>
      </c>
      <c r="U174" s="206">
        <f t="shared" ref="U174:U237" si="43">+E174+I174+M174+Q174</f>
        <v>0</v>
      </c>
      <c r="V174" s="221">
        <f t="shared" ref="V174:V237" si="44">+F174+J174+N174+R174+Z174</f>
        <v>-1</v>
      </c>
      <c r="W174" s="229">
        <f t="shared" ref="W174:W237" si="45">G174+K174+O174+S174</f>
        <v>0</v>
      </c>
      <c r="X174" s="222">
        <f t="shared" ref="X174:X237" si="46">IF((T174+U174)&lt;1,0,+T174/(T174+U174))</f>
        <v>0</v>
      </c>
      <c r="Y174" s="203"/>
      <c r="Z174" s="61">
        <f t="shared" ref="Z174:Z237" si="47">IF((X174)&lt;0.01,-1,0)</f>
        <v>-1</v>
      </c>
      <c r="AA174" s="142">
        <f t="shared" ref="AA174:AA237" si="48">+IF((D174&lt;E174),FALSE,D174-IF((D174=E174),D174/2))</f>
        <v>0</v>
      </c>
      <c r="AB174" s="142">
        <f t="shared" ref="AB174:AB237" si="49">IF((E174&gt;D174),FALSE,E174)-IF((D174=E174),E174/2,0)</f>
        <v>0</v>
      </c>
      <c r="AE174" s="142">
        <f t="shared" ref="AE174:AE237" si="50">+IF((H174&lt;I174),FALSE,H174-IF((H174=I174),H174/2))</f>
        <v>0</v>
      </c>
      <c r="AF174" s="142">
        <f t="shared" ref="AF174:AF237" si="51">IF((I174&gt;H174),FALSE,I174)-IF((H174=I174),I174/2,0)</f>
        <v>0</v>
      </c>
      <c r="AI174" s="142">
        <f t="shared" ref="AI174:AI237" si="52">+IF((L174&lt;M174),FALSE,L174-IF((L174=M174),L174/2))</f>
        <v>0</v>
      </c>
      <c r="AJ174" s="142">
        <f t="shared" ref="AJ174:AJ237" si="53">IF((M174&gt;L174),FALSE,M174)-IF((L174=M174),M174/2,0)</f>
        <v>0</v>
      </c>
      <c r="AM174" s="142">
        <f t="shared" ref="AM174:AM237" si="54">+IF((P174&lt;Q174),FALSE,P174-IF((P174=Q174),P174/2))</f>
        <v>0</v>
      </c>
      <c r="AN174" s="142">
        <f t="shared" ref="AN174:AN237" si="55">IF((Q174&gt;P174),FALSE,Q174)-IF((P174=Q174),Q174/2,0)</f>
        <v>0</v>
      </c>
      <c r="AS174" s="169"/>
      <c r="AT174" s="169"/>
      <c r="AU174" s="169"/>
      <c r="AV174" s="169"/>
      <c r="AW174" s="169"/>
    </row>
    <row r="175" spans="1:49" ht="35.25" hidden="1">
      <c r="A175" s="270">
        <v>2</v>
      </c>
      <c r="B175" s="271"/>
      <c r="C175" s="309"/>
      <c r="D175" s="260"/>
      <c r="E175" s="258"/>
      <c r="F175" s="84">
        <f t="shared" si="35"/>
        <v>0</v>
      </c>
      <c r="G175" s="85">
        <f t="shared" ref="G175:G237" si="56">IF(D175&gt;(E175+11),10,IF((D175+10)&lt;E175,-10,D175-E175))</f>
        <v>0</v>
      </c>
      <c r="H175" s="260"/>
      <c r="I175" s="258"/>
      <c r="J175" s="84">
        <f t="shared" si="36"/>
        <v>0</v>
      </c>
      <c r="K175" s="85">
        <f t="shared" si="37"/>
        <v>0</v>
      </c>
      <c r="L175" s="260"/>
      <c r="M175" s="258"/>
      <c r="N175" s="84">
        <f t="shared" si="38"/>
        <v>0</v>
      </c>
      <c r="O175" s="85">
        <f t="shared" si="39"/>
        <v>0</v>
      </c>
      <c r="P175" s="260"/>
      <c r="Q175" s="258"/>
      <c r="R175" s="84">
        <f t="shared" si="40"/>
        <v>0</v>
      </c>
      <c r="S175" s="85">
        <f t="shared" si="41"/>
        <v>0</v>
      </c>
      <c r="T175" s="201">
        <f t="shared" si="42"/>
        <v>0</v>
      </c>
      <c r="U175" s="205">
        <f t="shared" si="43"/>
        <v>0</v>
      </c>
      <c r="V175" s="223">
        <f t="shared" si="44"/>
        <v>-1</v>
      </c>
      <c r="W175" s="224">
        <f t="shared" si="45"/>
        <v>0</v>
      </c>
      <c r="X175" s="226">
        <f t="shared" si="46"/>
        <v>0</v>
      </c>
      <c r="Y175" s="203"/>
      <c r="Z175" s="61">
        <f t="shared" si="47"/>
        <v>-1</v>
      </c>
      <c r="AA175" s="142">
        <f t="shared" si="48"/>
        <v>0</v>
      </c>
      <c r="AB175" s="142">
        <f t="shared" si="49"/>
        <v>0</v>
      </c>
      <c r="AE175" s="142">
        <f t="shared" si="50"/>
        <v>0</v>
      </c>
      <c r="AF175" s="142">
        <f t="shared" si="51"/>
        <v>0</v>
      </c>
      <c r="AI175" s="142">
        <f t="shared" si="52"/>
        <v>0</v>
      </c>
      <c r="AJ175" s="142">
        <f t="shared" si="53"/>
        <v>0</v>
      </c>
      <c r="AM175" s="142">
        <f t="shared" si="54"/>
        <v>0</v>
      </c>
      <c r="AN175" s="142">
        <f t="shared" si="55"/>
        <v>0</v>
      </c>
      <c r="AS175" s="169"/>
      <c r="AT175" s="169"/>
      <c r="AU175" s="169"/>
      <c r="AV175" s="169"/>
      <c r="AW175" s="169"/>
    </row>
    <row r="176" spans="1:49" ht="35.25" hidden="1">
      <c r="A176" s="270">
        <v>3</v>
      </c>
      <c r="B176" s="271"/>
      <c r="C176" s="309"/>
      <c r="D176" s="260"/>
      <c r="E176" s="258"/>
      <c r="F176" s="84">
        <f t="shared" si="35"/>
        <v>0</v>
      </c>
      <c r="G176" s="85">
        <f t="shared" si="56"/>
        <v>0</v>
      </c>
      <c r="H176" s="260"/>
      <c r="I176" s="258"/>
      <c r="J176" s="84">
        <f t="shared" si="36"/>
        <v>0</v>
      </c>
      <c r="K176" s="84">
        <f t="shared" si="37"/>
        <v>0</v>
      </c>
      <c r="L176" s="260"/>
      <c r="M176" s="258"/>
      <c r="N176" s="84">
        <f t="shared" si="38"/>
        <v>0</v>
      </c>
      <c r="O176" s="85">
        <f t="shared" si="39"/>
        <v>0</v>
      </c>
      <c r="P176" s="260"/>
      <c r="Q176" s="258"/>
      <c r="R176" s="84">
        <f t="shared" si="40"/>
        <v>0</v>
      </c>
      <c r="S176" s="85">
        <f t="shared" si="41"/>
        <v>0</v>
      </c>
      <c r="T176" s="201">
        <f t="shared" si="42"/>
        <v>0</v>
      </c>
      <c r="U176" s="205">
        <f t="shared" si="43"/>
        <v>0</v>
      </c>
      <c r="V176" s="223">
        <f t="shared" si="44"/>
        <v>-1</v>
      </c>
      <c r="W176" s="224">
        <f t="shared" si="45"/>
        <v>0</v>
      </c>
      <c r="X176" s="225">
        <f t="shared" si="46"/>
        <v>0</v>
      </c>
      <c r="Y176" s="203"/>
      <c r="Z176" s="61">
        <f t="shared" si="47"/>
        <v>-1</v>
      </c>
      <c r="AA176" s="142">
        <f t="shared" si="48"/>
        <v>0</v>
      </c>
      <c r="AB176" s="142">
        <f t="shared" si="49"/>
        <v>0</v>
      </c>
      <c r="AE176" s="142">
        <f t="shared" si="50"/>
        <v>0</v>
      </c>
      <c r="AF176" s="142">
        <f t="shared" si="51"/>
        <v>0</v>
      </c>
      <c r="AI176" s="142">
        <f t="shared" si="52"/>
        <v>0</v>
      </c>
      <c r="AJ176" s="142">
        <f t="shared" si="53"/>
        <v>0</v>
      </c>
      <c r="AM176" s="142">
        <f t="shared" si="54"/>
        <v>0</v>
      </c>
      <c r="AN176" s="142">
        <f t="shared" si="55"/>
        <v>0</v>
      </c>
      <c r="AS176" s="169"/>
      <c r="AT176" s="169"/>
      <c r="AU176" s="169"/>
      <c r="AV176" s="169"/>
      <c r="AW176" s="169"/>
    </row>
    <row r="177" spans="1:49" ht="35.25" hidden="1">
      <c r="A177" s="270">
        <v>4</v>
      </c>
      <c r="B177" s="271"/>
      <c r="C177" s="309"/>
      <c r="D177" s="260"/>
      <c r="E177" s="258"/>
      <c r="F177" s="84">
        <f t="shared" si="35"/>
        <v>0</v>
      </c>
      <c r="G177" s="85">
        <f t="shared" si="56"/>
        <v>0</v>
      </c>
      <c r="H177" s="260"/>
      <c r="I177" s="258"/>
      <c r="J177" s="84">
        <f t="shared" si="36"/>
        <v>0</v>
      </c>
      <c r="K177" s="85">
        <f t="shared" si="37"/>
        <v>0</v>
      </c>
      <c r="L177" s="260"/>
      <c r="M177" s="258"/>
      <c r="N177" s="84">
        <f t="shared" si="38"/>
        <v>0</v>
      </c>
      <c r="O177" s="85">
        <f t="shared" si="39"/>
        <v>0</v>
      </c>
      <c r="P177" s="260"/>
      <c r="Q177" s="258"/>
      <c r="R177" s="84">
        <f t="shared" si="40"/>
        <v>0</v>
      </c>
      <c r="S177" s="85">
        <f t="shared" si="41"/>
        <v>0</v>
      </c>
      <c r="T177" s="201">
        <f t="shared" si="42"/>
        <v>0</v>
      </c>
      <c r="U177" s="205">
        <f t="shared" si="43"/>
        <v>0</v>
      </c>
      <c r="V177" s="223">
        <f t="shared" si="44"/>
        <v>-1</v>
      </c>
      <c r="W177" s="224">
        <f t="shared" si="45"/>
        <v>0</v>
      </c>
      <c r="X177" s="225">
        <f t="shared" si="46"/>
        <v>0</v>
      </c>
      <c r="Y177" s="203"/>
      <c r="Z177" s="61">
        <f t="shared" si="47"/>
        <v>-1</v>
      </c>
      <c r="AA177" s="142">
        <f t="shared" si="48"/>
        <v>0</v>
      </c>
      <c r="AB177" s="142">
        <f t="shared" si="49"/>
        <v>0</v>
      </c>
      <c r="AE177" s="142">
        <f t="shared" si="50"/>
        <v>0</v>
      </c>
      <c r="AF177" s="142">
        <f t="shared" si="51"/>
        <v>0</v>
      </c>
      <c r="AI177" s="142">
        <f t="shared" si="52"/>
        <v>0</v>
      </c>
      <c r="AJ177" s="142">
        <f t="shared" si="53"/>
        <v>0</v>
      </c>
      <c r="AM177" s="142">
        <f t="shared" si="54"/>
        <v>0</v>
      </c>
      <c r="AN177" s="142">
        <f t="shared" si="55"/>
        <v>0</v>
      </c>
      <c r="AS177" s="169"/>
      <c r="AT177" s="169"/>
      <c r="AU177" s="169"/>
      <c r="AV177" s="169"/>
      <c r="AW177" s="169"/>
    </row>
    <row r="178" spans="1:49" ht="35.25" hidden="1">
      <c r="A178" s="270">
        <v>5</v>
      </c>
      <c r="B178" s="271"/>
      <c r="C178" s="309"/>
      <c r="D178" s="260"/>
      <c r="E178" s="258"/>
      <c r="F178" s="84">
        <f t="shared" si="35"/>
        <v>0</v>
      </c>
      <c r="G178" s="85">
        <f t="shared" si="56"/>
        <v>0</v>
      </c>
      <c r="H178" s="260"/>
      <c r="I178" s="258"/>
      <c r="J178" s="84">
        <f t="shared" si="36"/>
        <v>0</v>
      </c>
      <c r="K178" s="85">
        <f t="shared" si="37"/>
        <v>0</v>
      </c>
      <c r="L178" s="260"/>
      <c r="M178" s="258"/>
      <c r="N178" s="84">
        <f t="shared" si="38"/>
        <v>0</v>
      </c>
      <c r="O178" s="85">
        <f t="shared" si="39"/>
        <v>0</v>
      </c>
      <c r="P178" s="260"/>
      <c r="Q178" s="258"/>
      <c r="R178" s="84">
        <f t="shared" si="40"/>
        <v>0</v>
      </c>
      <c r="S178" s="85">
        <f t="shared" si="41"/>
        <v>0</v>
      </c>
      <c r="T178" s="201">
        <f t="shared" si="42"/>
        <v>0</v>
      </c>
      <c r="U178" s="205">
        <f t="shared" si="43"/>
        <v>0</v>
      </c>
      <c r="V178" s="223">
        <f t="shared" si="44"/>
        <v>-1</v>
      </c>
      <c r="W178" s="224">
        <f t="shared" si="45"/>
        <v>0</v>
      </c>
      <c r="X178" s="225">
        <f t="shared" si="46"/>
        <v>0</v>
      </c>
      <c r="Y178" s="203"/>
      <c r="Z178" s="61">
        <f t="shared" si="47"/>
        <v>-1</v>
      </c>
      <c r="AA178" s="142">
        <f t="shared" si="48"/>
        <v>0</v>
      </c>
      <c r="AB178" s="142">
        <f t="shared" si="49"/>
        <v>0</v>
      </c>
      <c r="AE178" s="142">
        <f t="shared" si="50"/>
        <v>0</v>
      </c>
      <c r="AF178" s="142">
        <f t="shared" si="51"/>
        <v>0</v>
      </c>
      <c r="AI178" s="142">
        <f t="shared" si="52"/>
        <v>0</v>
      </c>
      <c r="AJ178" s="142">
        <f t="shared" si="53"/>
        <v>0</v>
      </c>
      <c r="AM178" s="142">
        <f t="shared" si="54"/>
        <v>0</v>
      </c>
      <c r="AN178" s="142">
        <f t="shared" si="55"/>
        <v>0</v>
      </c>
      <c r="AS178" s="169"/>
      <c r="AT178" s="169"/>
      <c r="AU178" s="169"/>
      <c r="AV178" s="169"/>
      <c r="AW178" s="169"/>
    </row>
    <row r="179" spans="1:49" ht="35.25" hidden="1">
      <c r="A179" s="270">
        <v>6</v>
      </c>
      <c r="B179" s="271"/>
      <c r="C179" s="310"/>
      <c r="D179" s="260"/>
      <c r="E179" s="258"/>
      <c r="F179" s="84">
        <f t="shared" si="35"/>
        <v>0</v>
      </c>
      <c r="G179" s="85">
        <f t="shared" si="56"/>
        <v>0</v>
      </c>
      <c r="H179" s="260"/>
      <c r="I179" s="258"/>
      <c r="J179" s="84">
        <f t="shared" si="36"/>
        <v>0</v>
      </c>
      <c r="K179" s="85">
        <f t="shared" si="37"/>
        <v>0</v>
      </c>
      <c r="L179" s="260"/>
      <c r="M179" s="258"/>
      <c r="N179" s="84">
        <f t="shared" si="38"/>
        <v>0</v>
      </c>
      <c r="O179" s="85">
        <f t="shared" si="39"/>
        <v>0</v>
      </c>
      <c r="P179" s="260"/>
      <c r="Q179" s="258"/>
      <c r="R179" s="84">
        <f t="shared" si="40"/>
        <v>0</v>
      </c>
      <c r="S179" s="85">
        <f t="shared" si="41"/>
        <v>0</v>
      </c>
      <c r="T179" s="201">
        <f t="shared" si="42"/>
        <v>0</v>
      </c>
      <c r="U179" s="205">
        <f t="shared" si="43"/>
        <v>0</v>
      </c>
      <c r="V179" s="223">
        <f t="shared" si="44"/>
        <v>-1</v>
      </c>
      <c r="W179" s="224">
        <f t="shared" si="45"/>
        <v>0</v>
      </c>
      <c r="X179" s="225">
        <f t="shared" si="46"/>
        <v>0</v>
      </c>
      <c r="Y179" s="203"/>
      <c r="Z179" s="61">
        <f t="shared" si="47"/>
        <v>-1</v>
      </c>
      <c r="AA179" s="142">
        <f t="shared" si="48"/>
        <v>0</v>
      </c>
      <c r="AB179" s="142">
        <f t="shared" si="49"/>
        <v>0</v>
      </c>
      <c r="AE179" s="142">
        <f t="shared" si="50"/>
        <v>0</v>
      </c>
      <c r="AF179" s="142">
        <f t="shared" si="51"/>
        <v>0</v>
      </c>
      <c r="AI179" s="142">
        <f t="shared" si="52"/>
        <v>0</v>
      </c>
      <c r="AJ179" s="142">
        <f t="shared" si="53"/>
        <v>0</v>
      </c>
      <c r="AM179" s="142">
        <f t="shared" si="54"/>
        <v>0</v>
      </c>
      <c r="AN179" s="142">
        <f t="shared" si="55"/>
        <v>0</v>
      </c>
      <c r="AS179" s="169"/>
      <c r="AT179" s="169"/>
      <c r="AU179" s="169"/>
      <c r="AV179" s="169"/>
      <c r="AW179" s="169"/>
    </row>
    <row r="180" spans="1:49" ht="44.25" hidden="1">
      <c r="A180" s="270">
        <v>7</v>
      </c>
      <c r="B180" s="271"/>
      <c r="C180" s="326"/>
      <c r="D180" s="276"/>
      <c r="E180" s="275"/>
      <c r="F180" s="84">
        <f t="shared" si="35"/>
        <v>0</v>
      </c>
      <c r="G180" s="85">
        <f t="shared" si="56"/>
        <v>0</v>
      </c>
      <c r="H180" s="292"/>
      <c r="I180" s="290"/>
      <c r="J180" s="84">
        <f t="shared" si="36"/>
        <v>0</v>
      </c>
      <c r="K180" s="85">
        <f t="shared" si="37"/>
        <v>0</v>
      </c>
      <c r="L180" s="319"/>
      <c r="M180" s="320"/>
      <c r="N180" s="84">
        <f t="shared" si="38"/>
        <v>0</v>
      </c>
      <c r="O180" s="85">
        <f t="shared" si="39"/>
        <v>0</v>
      </c>
      <c r="P180" s="319"/>
      <c r="Q180" s="320"/>
      <c r="R180" s="84">
        <f t="shared" si="40"/>
        <v>0</v>
      </c>
      <c r="S180" s="85">
        <f t="shared" si="41"/>
        <v>0</v>
      </c>
      <c r="T180" s="201">
        <f t="shared" si="42"/>
        <v>0</v>
      </c>
      <c r="U180" s="205">
        <f t="shared" si="43"/>
        <v>0</v>
      </c>
      <c r="V180" s="223">
        <f t="shared" si="44"/>
        <v>-1</v>
      </c>
      <c r="W180" s="224">
        <f t="shared" si="45"/>
        <v>0</v>
      </c>
      <c r="X180" s="225">
        <f t="shared" si="46"/>
        <v>0</v>
      </c>
      <c r="Y180" s="203"/>
      <c r="Z180" s="61">
        <f t="shared" si="47"/>
        <v>-1</v>
      </c>
      <c r="AA180" s="142">
        <f t="shared" si="48"/>
        <v>0</v>
      </c>
      <c r="AB180" s="142">
        <f t="shared" si="49"/>
        <v>0</v>
      </c>
      <c r="AE180" s="142">
        <f t="shared" si="50"/>
        <v>0</v>
      </c>
      <c r="AF180" s="142">
        <f t="shared" si="51"/>
        <v>0</v>
      </c>
      <c r="AI180" s="142">
        <f t="shared" si="52"/>
        <v>0</v>
      </c>
      <c r="AJ180" s="142">
        <f t="shared" si="53"/>
        <v>0</v>
      </c>
      <c r="AM180" s="142">
        <f t="shared" si="54"/>
        <v>0</v>
      </c>
      <c r="AN180" s="142">
        <f t="shared" si="55"/>
        <v>0</v>
      </c>
      <c r="AS180" s="169"/>
      <c r="AT180" s="169"/>
      <c r="AU180" s="169"/>
      <c r="AV180" s="169"/>
      <c r="AW180" s="169"/>
    </row>
    <row r="181" spans="1:49" ht="36" hidden="1" thickBot="1">
      <c r="A181" s="272">
        <v>8</v>
      </c>
      <c r="B181" s="273"/>
      <c r="C181" s="312"/>
      <c r="D181" s="264"/>
      <c r="E181" s="259"/>
      <c r="F181" s="86">
        <f t="shared" si="35"/>
        <v>0</v>
      </c>
      <c r="G181" s="87">
        <f t="shared" si="56"/>
        <v>0</v>
      </c>
      <c r="H181" s="264"/>
      <c r="I181" s="259"/>
      <c r="J181" s="86">
        <f t="shared" si="36"/>
        <v>0</v>
      </c>
      <c r="K181" s="87">
        <f t="shared" si="37"/>
        <v>0</v>
      </c>
      <c r="L181" s="264"/>
      <c r="M181" s="259"/>
      <c r="N181" s="86">
        <f t="shared" si="38"/>
        <v>0</v>
      </c>
      <c r="O181" s="87">
        <f t="shared" si="39"/>
        <v>0</v>
      </c>
      <c r="P181" s="264"/>
      <c r="Q181" s="259"/>
      <c r="R181" s="86">
        <f t="shared" si="40"/>
        <v>0</v>
      </c>
      <c r="S181" s="87">
        <f t="shared" si="41"/>
        <v>0</v>
      </c>
      <c r="T181" s="202">
        <f t="shared" si="42"/>
        <v>0</v>
      </c>
      <c r="U181" s="207">
        <f t="shared" si="43"/>
        <v>0</v>
      </c>
      <c r="V181" s="227">
        <f t="shared" si="44"/>
        <v>-1</v>
      </c>
      <c r="W181" s="228">
        <f t="shared" si="45"/>
        <v>0</v>
      </c>
      <c r="X181" s="230">
        <f t="shared" si="46"/>
        <v>0</v>
      </c>
      <c r="Y181" s="203"/>
      <c r="Z181" s="61">
        <f t="shared" si="47"/>
        <v>-1</v>
      </c>
      <c r="AA181" s="142">
        <f t="shared" si="48"/>
        <v>0</v>
      </c>
      <c r="AB181" s="142">
        <f t="shared" si="49"/>
        <v>0</v>
      </c>
      <c r="AE181" s="142">
        <f t="shared" si="50"/>
        <v>0</v>
      </c>
      <c r="AF181" s="142">
        <f t="shared" si="51"/>
        <v>0</v>
      </c>
      <c r="AI181" s="142">
        <f t="shared" si="52"/>
        <v>0</v>
      </c>
      <c r="AJ181" s="142">
        <f t="shared" si="53"/>
        <v>0</v>
      </c>
      <c r="AM181" s="142">
        <f t="shared" si="54"/>
        <v>0</v>
      </c>
      <c r="AN181" s="142">
        <f t="shared" si="55"/>
        <v>0</v>
      </c>
      <c r="AS181" s="169"/>
      <c r="AT181" s="169"/>
      <c r="AU181" s="169"/>
      <c r="AV181" s="169"/>
      <c r="AW181" s="169"/>
    </row>
    <row r="182" spans="1:49" ht="35.25" hidden="1">
      <c r="A182" s="268">
        <v>9</v>
      </c>
      <c r="B182" s="269"/>
      <c r="C182" s="308"/>
      <c r="D182" s="263"/>
      <c r="E182" s="261"/>
      <c r="F182" s="176">
        <f t="shared" si="35"/>
        <v>0</v>
      </c>
      <c r="G182" s="177">
        <f t="shared" si="56"/>
        <v>0</v>
      </c>
      <c r="H182" s="263"/>
      <c r="I182" s="261"/>
      <c r="J182" s="176">
        <f t="shared" si="36"/>
        <v>0</v>
      </c>
      <c r="K182" s="177">
        <f t="shared" si="37"/>
        <v>0</v>
      </c>
      <c r="L182" s="263"/>
      <c r="M182" s="261"/>
      <c r="N182" s="176">
        <f t="shared" si="38"/>
        <v>0</v>
      </c>
      <c r="O182" s="177">
        <f t="shared" si="39"/>
        <v>0</v>
      </c>
      <c r="P182" s="263"/>
      <c r="Q182" s="261"/>
      <c r="R182" s="176">
        <f t="shared" si="40"/>
        <v>0</v>
      </c>
      <c r="S182" s="177">
        <f t="shared" si="41"/>
        <v>0</v>
      </c>
      <c r="T182" s="200">
        <f t="shared" si="42"/>
        <v>0</v>
      </c>
      <c r="U182" s="206">
        <f t="shared" si="43"/>
        <v>0</v>
      </c>
      <c r="V182" s="221">
        <f t="shared" si="44"/>
        <v>-1</v>
      </c>
      <c r="W182" s="229">
        <f t="shared" si="45"/>
        <v>0</v>
      </c>
      <c r="X182" s="222">
        <f t="shared" si="46"/>
        <v>0</v>
      </c>
      <c r="Y182" s="203"/>
      <c r="Z182" s="61">
        <f t="shared" si="47"/>
        <v>-1</v>
      </c>
      <c r="AA182" s="142">
        <f t="shared" si="48"/>
        <v>0</v>
      </c>
      <c r="AB182" s="142">
        <f t="shared" si="49"/>
        <v>0</v>
      </c>
      <c r="AE182" s="142">
        <f t="shared" si="50"/>
        <v>0</v>
      </c>
      <c r="AF182" s="142">
        <f t="shared" si="51"/>
        <v>0</v>
      </c>
      <c r="AI182" s="142">
        <f t="shared" si="52"/>
        <v>0</v>
      </c>
      <c r="AJ182" s="142">
        <f t="shared" si="53"/>
        <v>0</v>
      </c>
      <c r="AM182" s="142">
        <f t="shared" si="54"/>
        <v>0</v>
      </c>
      <c r="AN182" s="142">
        <f t="shared" si="55"/>
        <v>0</v>
      </c>
      <c r="AS182" s="169"/>
      <c r="AT182" s="169"/>
      <c r="AU182" s="169"/>
      <c r="AV182" s="169"/>
      <c r="AW182" s="169"/>
    </row>
    <row r="183" spans="1:49" ht="35.25" hidden="1">
      <c r="A183" s="270">
        <v>10</v>
      </c>
      <c r="B183" s="271"/>
      <c r="C183" s="309"/>
      <c r="D183" s="260"/>
      <c r="E183" s="258"/>
      <c r="F183" s="84">
        <f t="shared" si="35"/>
        <v>0</v>
      </c>
      <c r="G183" s="85">
        <f t="shared" si="56"/>
        <v>0</v>
      </c>
      <c r="H183" s="260"/>
      <c r="I183" s="258"/>
      <c r="J183" s="84">
        <f t="shared" si="36"/>
        <v>0</v>
      </c>
      <c r="K183" s="85">
        <f t="shared" si="37"/>
        <v>0</v>
      </c>
      <c r="L183" s="260"/>
      <c r="M183" s="258"/>
      <c r="N183" s="84">
        <f t="shared" si="38"/>
        <v>0</v>
      </c>
      <c r="O183" s="85">
        <f t="shared" si="39"/>
        <v>0</v>
      </c>
      <c r="P183" s="260"/>
      <c r="Q183" s="258"/>
      <c r="R183" s="84">
        <f t="shared" si="40"/>
        <v>0</v>
      </c>
      <c r="S183" s="85">
        <f t="shared" si="41"/>
        <v>0</v>
      </c>
      <c r="T183" s="201">
        <f t="shared" si="42"/>
        <v>0</v>
      </c>
      <c r="U183" s="205">
        <f t="shared" si="43"/>
        <v>0</v>
      </c>
      <c r="V183" s="223">
        <f t="shared" si="44"/>
        <v>-1</v>
      </c>
      <c r="W183" s="224">
        <f t="shared" si="45"/>
        <v>0</v>
      </c>
      <c r="X183" s="225">
        <f t="shared" si="46"/>
        <v>0</v>
      </c>
      <c r="Y183" s="203"/>
      <c r="Z183" s="61">
        <f t="shared" si="47"/>
        <v>-1</v>
      </c>
      <c r="AA183" s="142">
        <f t="shared" si="48"/>
        <v>0</v>
      </c>
      <c r="AB183" s="142">
        <f t="shared" si="49"/>
        <v>0</v>
      </c>
      <c r="AE183" s="142">
        <f t="shared" si="50"/>
        <v>0</v>
      </c>
      <c r="AF183" s="142">
        <f t="shared" si="51"/>
        <v>0</v>
      </c>
      <c r="AI183" s="142">
        <f t="shared" si="52"/>
        <v>0</v>
      </c>
      <c r="AJ183" s="142">
        <f t="shared" si="53"/>
        <v>0</v>
      </c>
      <c r="AM183" s="142">
        <f t="shared" si="54"/>
        <v>0</v>
      </c>
      <c r="AN183" s="142">
        <f t="shared" si="55"/>
        <v>0</v>
      </c>
      <c r="AS183" s="169"/>
      <c r="AT183" s="169"/>
      <c r="AU183" s="169"/>
      <c r="AV183" s="169"/>
      <c r="AW183" s="169"/>
    </row>
    <row r="184" spans="1:49" ht="35.25" hidden="1">
      <c r="A184" s="270">
        <v>11</v>
      </c>
      <c r="B184" s="271"/>
      <c r="C184" s="309"/>
      <c r="D184" s="260"/>
      <c r="E184" s="258"/>
      <c r="F184" s="84">
        <f t="shared" si="35"/>
        <v>0</v>
      </c>
      <c r="G184" s="85">
        <f t="shared" si="56"/>
        <v>0</v>
      </c>
      <c r="H184" s="260"/>
      <c r="I184" s="258"/>
      <c r="J184" s="84">
        <f t="shared" si="36"/>
        <v>0</v>
      </c>
      <c r="K184" s="85">
        <f t="shared" si="37"/>
        <v>0</v>
      </c>
      <c r="L184" s="260"/>
      <c r="M184" s="258"/>
      <c r="N184" s="84">
        <f t="shared" si="38"/>
        <v>0</v>
      </c>
      <c r="O184" s="85">
        <f t="shared" si="39"/>
        <v>0</v>
      </c>
      <c r="P184" s="260"/>
      <c r="Q184" s="258"/>
      <c r="R184" s="84">
        <f t="shared" si="40"/>
        <v>0</v>
      </c>
      <c r="S184" s="85">
        <f t="shared" si="41"/>
        <v>0</v>
      </c>
      <c r="T184" s="201">
        <f t="shared" si="42"/>
        <v>0</v>
      </c>
      <c r="U184" s="205">
        <f t="shared" si="43"/>
        <v>0</v>
      </c>
      <c r="V184" s="223">
        <f t="shared" si="44"/>
        <v>-1</v>
      </c>
      <c r="W184" s="224">
        <f t="shared" si="45"/>
        <v>0</v>
      </c>
      <c r="X184" s="225">
        <f t="shared" si="46"/>
        <v>0</v>
      </c>
      <c r="Y184" s="203"/>
      <c r="Z184" s="61">
        <f t="shared" si="47"/>
        <v>-1</v>
      </c>
      <c r="AA184" s="142">
        <f t="shared" si="48"/>
        <v>0</v>
      </c>
      <c r="AB184" s="142">
        <f t="shared" si="49"/>
        <v>0</v>
      </c>
      <c r="AE184" s="142">
        <f t="shared" si="50"/>
        <v>0</v>
      </c>
      <c r="AF184" s="142">
        <f t="shared" si="51"/>
        <v>0</v>
      </c>
      <c r="AI184" s="142">
        <f t="shared" si="52"/>
        <v>0</v>
      </c>
      <c r="AJ184" s="142">
        <f t="shared" si="53"/>
        <v>0</v>
      </c>
      <c r="AM184" s="142">
        <f t="shared" si="54"/>
        <v>0</v>
      </c>
      <c r="AN184" s="142">
        <f t="shared" si="55"/>
        <v>0</v>
      </c>
      <c r="AS184" s="169"/>
      <c r="AT184" s="169"/>
      <c r="AU184" s="169"/>
      <c r="AV184" s="169"/>
      <c r="AW184" s="169"/>
    </row>
    <row r="185" spans="1:49" ht="35.25" hidden="1">
      <c r="A185" s="270">
        <v>12</v>
      </c>
      <c r="B185" s="271"/>
      <c r="C185" s="309"/>
      <c r="D185" s="260"/>
      <c r="E185" s="258"/>
      <c r="F185" s="84">
        <f t="shared" si="35"/>
        <v>0</v>
      </c>
      <c r="G185" s="85">
        <f t="shared" si="56"/>
        <v>0</v>
      </c>
      <c r="H185" s="260"/>
      <c r="I185" s="258"/>
      <c r="J185" s="84">
        <f t="shared" si="36"/>
        <v>0</v>
      </c>
      <c r="K185" s="85">
        <f t="shared" si="37"/>
        <v>0</v>
      </c>
      <c r="L185" s="260"/>
      <c r="M185" s="258"/>
      <c r="N185" s="84">
        <f t="shared" si="38"/>
        <v>0</v>
      </c>
      <c r="O185" s="85">
        <f t="shared" si="39"/>
        <v>0</v>
      </c>
      <c r="P185" s="260"/>
      <c r="Q185" s="258"/>
      <c r="R185" s="84">
        <f t="shared" si="40"/>
        <v>0</v>
      </c>
      <c r="S185" s="85">
        <f t="shared" si="41"/>
        <v>0</v>
      </c>
      <c r="T185" s="201">
        <f t="shared" si="42"/>
        <v>0</v>
      </c>
      <c r="U185" s="205">
        <f t="shared" si="43"/>
        <v>0</v>
      </c>
      <c r="V185" s="223">
        <f t="shared" si="44"/>
        <v>-1</v>
      </c>
      <c r="W185" s="224">
        <f t="shared" si="45"/>
        <v>0</v>
      </c>
      <c r="X185" s="225">
        <f t="shared" si="46"/>
        <v>0</v>
      </c>
      <c r="Y185" s="203"/>
      <c r="Z185" s="61">
        <f t="shared" si="47"/>
        <v>-1</v>
      </c>
      <c r="AA185" s="142">
        <f t="shared" si="48"/>
        <v>0</v>
      </c>
      <c r="AB185" s="142">
        <f t="shared" si="49"/>
        <v>0</v>
      </c>
      <c r="AE185" s="142">
        <f t="shared" si="50"/>
        <v>0</v>
      </c>
      <c r="AF185" s="142">
        <f t="shared" si="51"/>
        <v>0</v>
      </c>
      <c r="AI185" s="142">
        <f t="shared" si="52"/>
        <v>0</v>
      </c>
      <c r="AJ185" s="142">
        <f t="shared" si="53"/>
        <v>0</v>
      </c>
      <c r="AM185" s="142">
        <f t="shared" si="54"/>
        <v>0</v>
      </c>
      <c r="AN185" s="142">
        <f t="shared" si="55"/>
        <v>0</v>
      </c>
      <c r="AS185" s="169"/>
      <c r="AT185" s="169"/>
      <c r="AU185" s="169"/>
      <c r="AV185" s="169"/>
      <c r="AW185" s="169"/>
    </row>
    <row r="186" spans="1:49" ht="35.25" hidden="1">
      <c r="A186" s="270">
        <v>13</v>
      </c>
      <c r="B186" s="271"/>
      <c r="C186" s="309"/>
      <c r="D186" s="260"/>
      <c r="E186" s="258"/>
      <c r="F186" s="84">
        <f t="shared" si="35"/>
        <v>0</v>
      </c>
      <c r="G186" s="85">
        <f t="shared" si="56"/>
        <v>0</v>
      </c>
      <c r="H186" s="260"/>
      <c r="I186" s="258"/>
      <c r="J186" s="84">
        <f t="shared" si="36"/>
        <v>0</v>
      </c>
      <c r="K186" s="85">
        <f t="shared" si="37"/>
        <v>0</v>
      </c>
      <c r="L186" s="260"/>
      <c r="M186" s="258"/>
      <c r="N186" s="84">
        <f t="shared" si="38"/>
        <v>0</v>
      </c>
      <c r="O186" s="85">
        <f t="shared" si="39"/>
        <v>0</v>
      </c>
      <c r="P186" s="260"/>
      <c r="Q186" s="258"/>
      <c r="R186" s="84">
        <f t="shared" si="40"/>
        <v>0</v>
      </c>
      <c r="S186" s="85">
        <f t="shared" si="41"/>
        <v>0</v>
      </c>
      <c r="T186" s="201">
        <f t="shared" si="42"/>
        <v>0</v>
      </c>
      <c r="U186" s="205">
        <f t="shared" si="43"/>
        <v>0</v>
      </c>
      <c r="V186" s="223">
        <f t="shared" si="44"/>
        <v>-1</v>
      </c>
      <c r="W186" s="224">
        <f t="shared" si="45"/>
        <v>0</v>
      </c>
      <c r="X186" s="225">
        <f t="shared" si="46"/>
        <v>0</v>
      </c>
      <c r="Y186" s="203"/>
      <c r="Z186" s="61">
        <f t="shared" si="47"/>
        <v>-1</v>
      </c>
      <c r="AA186" s="142">
        <f t="shared" si="48"/>
        <v>0</v>
      </c>
      <c r="AB186" s="142">
        <f t="shared" si="49"/>
        <v>0</v>
      </c>
      <c r="AE186" s="142">
        <f t="shared" si="50"/>
        <v>0</v>
      </c>
      <c r="AF186" s="142">
        <f t="shared" si="51"/>
        <v>0</v>
      </c>
      <c r="AI186" s="142">
        <f t="shared" si="52"/>
        <v>0</v>
      </c>
      <c r="AJ186" s="142">
        <f t="shared" si="53"/>
        <v>0</v>
      </c>
      <c r="AM186" s="142">
        <f t="shared" si="54"/>
        <v>0</v>
      </c>
      <c r="AN186" s="142">
        <f t="shared" si="55"/>
        <v>0</v>
      </c>
      <c r="AS186" s="169"/>
      <c r="AT186" s="169"/>
      <c r="AU186" s="169"/>
      <c r="AV186" s="169"/>
      <c r="AW186" s="169"/>
    </row>
    <row r="187" spans="1:49" ht="35.25" hidden="1">
      <c r="A187" s="270">
        <v>14</v>
      </c>
      <c r="B187" s="271"/>
      <c r="C187" s="309"/>
      <c r="D187" s="260"/>
      <c r="E187" s="258"/>
      <c r="F187" s="84">
        <f t="shared" si="35"/>
        <v>0</v>
      </c>
      <c r="G187" s="85">
        <f t="shared" si="56"/>
        <v>0</v>
      </c>
      <c r="H187" s="260"/>
      <c r="I187" s="258"/>
      <c r="J187" s="84">
        <f t="shared" si="36"/>
        <v>0</v>
      </c>
      <c r="K187" s="85">
        <f t="shared" si="37"/>
        <v>0</v>
      </c>
      <c r="L187" s="260"/>
      <c r="M187" s="258"/>
      <c r="N187" s="84">
        <f t="shared" si="38"/>
        <v>0</v>
      </c>
      <c r="O187" s="85">
        <f t="shared" si="39"/>
        <v>0</v>
      </c>
      <c r="P187" s="324"/>
      <c r="Q187" s="325"/>
      <c r="R187" s="84">
        <f t="shared" si="40"/>
        <v>0</v>
      </c>
      <c r="S187" s="85">
        <f t="shared" si="41"/>
        <v>0</v>
      </c>
      <c r="T187" s="201">
        <f t="shared" si="42"/>
        <v>0</v>
      </c>
      <c r="U187" s="205">
        <f t="shared" si="43"/>
        <v>0</v>
      </c>
      <c r="V187" s="223">
        <f t="shared" si="44"/>
        <v>-1</v>
      </c>
      <c r="W187" s="224">
        <f t="shared" si="45"/>
        <v>0</v>
      </c>
      <c r="X187" s="226">
        <f t="shared" si="46"/>
        <v>0</v>
      </c>
      <c r="Y187" s="203"/>
      <c r="Z187" s="61">
        <f t="shared" si="47"/>
        <v>-1</v>
      </c>
      <c r="AA187" s="142">
        <f t="shared" si="48"/>
        <v>0</v>
      </c>
      <c r="AB187" s="142">
        <f t="shared" si="49"/>
        <v>0</v>
      </c>
      <c r="AE187" s="142">
        <f t="shared" si="50"/>
        <v>0</v>
      </c>
      <c r="AF187" s="142">
        <f t="shared" si="51"/>
        <v>0</v>
      </c>
      <c r="AI187" s="142">
        <f t="shared" si="52"/>
        <v>0</v>
      </c>
      <c r="AJ187" s="142">
        <f t="shared" si="53"/>
        <v>0</v>
      </c>
      <c r="AM187" s="142">
        <f t="shared" si="54"/>
        <v>0</v>
      </c>
      <c r="AN187" s="142">
        <f t="shared" si="55"/>
        <v>0</v>
      </c>
      <c r="AS187" s="169"/>
      <c r="AT187" s="169"/>
      <c r="AU187" s="169"/>
      <c r="AV187" s="169"/>
      <c r="AW187" s="169"/>
    </row>
    <row r="188" spans="1:49" ht="35.25" hidden="1">
      <c r="A188" s="270">
        <v>15</v>
      </c>
      <c r="B188" s="271"/>
      <c r="C188" s="309"/>
      <c r="D188" s="260"/>
      <c r="E188" s="258"/>
      <c r="F188" s="84">
        <f t="shared" si="35"/>
        <v>0</v>
      </c>
      <c r="G188" s="85">
        <f t="shared" si="56"/>
        <v>0</v>
      </c>
      <c r="H188" s="260"/>
      <c r="I188" s="258"/>
      <c r="J188" s="84">
        <f t="shared" si="36"/>
        <v>0</v>
      </c>
      <c r="K188" s="85">
        <f t="shared" si="37"/>
        <v>0</v>
      </c>
      <c r="L188" s="260"/>
      <c r="M188" s="258"/>
      <c r="N188" s="84">
        <f t="shared" si="38"/>
        <v>0</v>
      </c>
      <c r="O188" s="85">
        <f t="shared" si="39"/>
        <v>0</v>
      </c>
      <c r="P188" s="260"/>
      <c r="Q188" s="258"/>
      <c r="R188" s="84">
        <f t="shared" si="40"/>
        <v>0</v>
      </c>
      <c r="S188" s="85">
        <f t="shared" si="41"/>
        <v>0</v>
      </c>
      <c r="T188" s="201">
        <f t="shared" si="42"/>
        <v>0</v>
      </c>
      <c r="U188" s="205">
        <f t="shared" si="43"/>
        <v>0</v>
      </c>
      <c r="V188" s="223">
        <f t="shared" si="44"/>
        <v>-1</v>
      </c>
      <c r="W188" s="224">
        <f t="shared" si="45"/>
        <v>0</v>
      </c>
      <c r="X188" s="225">
        <f t="shared" si="46"/>
        <v>0</v>
      </c>
      <c r="Y188" s="203"/>
      <c r="Z188" s="61">
        <f t="shared" si="47"/>
        <v>-1</v>
      </c>
      <c r="AA188" s="142">
        <f t="shared" si="48"/>
        <v>0</v>
      </c>
      <c r="AB188" s="142">
        <f t="shared" si="49"/>
        <v>0</v>
      </c>
      <c r="AE188" s="142">
        <f t="shared" si="50"/>
        <v>0</v>
      </c>
      <c r="AF188" s="142">
        <f t="shared" si="51"/>
        <v>0</v>
      </c>
      <c r="AI188" s="142">
        <f t="shared" si="52"/>
        <v>0</v>
      </c>
      <c r="AJ188" s="142">
        <f t="shared" si="53"/>
        <v>0</v>
      </c>
      <c r="AM188" s="142">
        <f t="shared" si="54"/>
        <v>0</v>
      </c>
      <c r="AN188" s="142">
        <f t="shared" si="55"/>
        <v>0</v>
      </c>
      <c r="AS188" s="169"/>
      <c r="AT188" s="169"/>
      <c r="AU188" s="169"/>
      <c r="AV188" s="169"/>
      <c r="AW188" s="169"/>
    </row>
    <row r="189" spans="1:49" ht="36" hidden="1" thickBot="1">
      <c r="A189" s="272">
        <v>16</v>
      </c>
      <c r="B189" s="273"/>
      <c r="C189" s="312"/>
      <c r="D189" s="264"/>
      <c r="E189" s="259"/>
      <c r="F189" s="86">
        <f t="shared" si="35"/>
        <v>0</v>
      </c>
      <c r="G189" s="87">
        <f t="shared" si="56"/>
        <v>0</v>
      </c>
      <c r="H189" s="264"/>
      <c r="I189" s="259"/>
      <c r="J189" s="86">
        <f t="shared" si="36"/>
        <v>0</v>
      </c>
      <c r="K189" s="87">
        <f t="shared" si="37"/>
        <v>0</v>
      </c>
      <c r="L189" s="264"/>
      <c r="M189" s="259"/>
      <c r="N189" s="86">
        <f t="shared" si="38"/>
        <v>0</v>
      </c>
      <c r="O189" s="87">
        <f t="shared" si="39"/>
        <v>0</v>
      </c>
      <c r="P189" s="264"/>
      <c r="Q189" s="259"/>
      <c r="R189" s="86">
        <f t="shared" si="40"/>
        <v>0</v>
      </c>
      <c r="S189" s="155">
        <f t="shared" si="41"/>
        <v>0</v>
      </c>
      <c r="T189" s="202">
        <f t="shared" si="42"/>
        <v>0</v>
      </c>
      <c r="U189" s="207">
        <f t="shared" si="43"/>
        <v>0</v>
      </c>
      <c r="V189" s="227">
        <f t="shared" si="44"/>
        <v>-1</v>
      </c>
      <c r="W189" s="228">
        <f t="shared" si="45"/>
        <v>0</v>
      </c>
      <c r="X189" s="230">
        <f t="shared" si="46"/>
        <v>0</v>
      </c>
      <c r="Y189" s="203"/>
      <c r="Z189" s="61">
        <f t="shared" si="47"/>
        <v>-1</v>
      </c>
      <c r="AA189" s="142">
        <f t="shared" si="48"/>
        <v>0</v>
      </c>
      <c r="AB189" s="142">
        <f t="shared" si="49"/>
        <v>0</v>
      </c>
      <c r="AE189" s="142">
        <f t="shared" si="50"/>
        <v>0</v>
      </c>
      <c r="AF189" s="142">
        <f t="shared" si="51"/>
        <v>0</v>
      </c>
      <c r="AI189" s="142">
        <f t="shared" si="52"/>
        <v>0</v>
      </c>
      <c r="AJ189" s="142">
        <f t="shared" si="53"/>
        <v>0</v>
      </c>
      <c r="AM189" s="142">
        <f t="shared" si="54"/>
        <v>0</v>
      </c>
      <c r="AN189" s="142">
        <f t="shared" si="55"/>
        <v>0</v>
      </c>
      <c r="AS189" s="169"/>
      <c r="AT189" s="169"/>
      <c r="AU189" s="169"/>
      <c r="AV189" s="169"/>
      <c r="AW189" s="169"/>
    </row>
    <row r="190" spans="1:49" ht="44.25" hidden="1">
      <c r="A190" s="268">
        <v>17</v>
      </c>
      <c r="B190" s="269"/>
      <c r="C190" s="313"/>
      <c r="D190" s="276"/>
      <c r="E190" s="275"/>
      <c r="F190" s="90">
        <f t="shared" si="35"/>
        <v>0</v>
      </c>
      <c r="G190" s="91">
        <f t="shared" si="56"/>
        <v>0</v>
      </c>
      <c r="H190" s="292"/>
      <c r="I190" s="290"/>
      <c r="J190" s="90">
        <f t="shared" si="36"/>
        <v>0</v>
      </c>
      <c r="K190" s="91">
        <f t="shared" si="37"/>
        <v>0</v>
      </c>
      <c r="L190" s="319"/>
      <c r="M190" s="320"/>
      <c r="N190" s="90">
        <f t="shared" si="38"/>
        <v>0</v>
      </c>
      <c r="O190" s="91">
        <f t="shared" si="39"/>
        <v>0</v>
      </c>
      <c r="P190" s="319"/>
      <c r="Q190" s="320"/>
      <c r="R190" s="90">
        <f t="shared" si="40"/>
        <v>0</v>
      </c>
      <c r="S190" s="91">
        <f t="shared" si="41"/>
        <v>0</v>
      </c>
      <c r="T190" s="200">
        <f t="shared" si="42"/>
        <v>0</v>
      </c>
      <c r="U190" s="206">
        <f t="shared" si="43"/>
        <v>0</v>
      </c>
      <c r="V190" s="221">
        <f t="shared" si="44"/>
        <v>-1</v>
      </c>
      <c r="W190" s="229">
        <f t="shared" si="45"/>
        <v>0</v>
      </c>
      <c r="X190" s="222">
        <f t="shared" si="46"/>
        <v>0</v>
      </c>
      <c r="Y190" s="203"/>
      <c r="Z190" s="61">
        <f t="shared" si="47"/>
        <v>-1</v>
      </c>
      <c r="AA190" s="142">
        <f t="shared" si="48"/>
        <v>0</v>
      </c>
      <c r="AB190" s="142">
        <f t="shared" si="49"/>
        <v>0</v>
      </c>
      <c r="AE190" s="142">
        <f t="shared" si="50"/>
        <v>0</v>
      </c>
      <c r="AF190" s="142">
        <f t="shared" si="51"/>
        <v>0</v>
      </c>
      <c r="AI190" s="142">
        <f t="shared" si="52"/>
        <v>0</v>
      </c>
      <c r="AJ190" s="142">
        <f t="shared" si="53"/>
        <v>0</v>
      </c>
      <c r="AM190" s="142">
        <f t="shared" si="54"/>
        <v>0</v>
      </c>
      <c r="AN190" s="142">
        <f t="shared" si="55"/>
        <v>0</v>
      </c>
      <c r="AS190" s="169"/>
      <c r="AT190" s="169"/>
      <c r="AU190" s="169"/>
      <c r="AV190" s="169"/>
      <c r="AW190" s="169"/>
    </row>
    <row r="191" spans="1:49" ht="44.25" hidden="1">
      <c r="A191" s="270">
        <v>18</v>
      </c>
      <c r="B191" s="271"/>
      <c r="C191" s="314"/>
      <c r="D191" s="276"/>
      <c r="E191" s="275"/>
      <c r="F191" s="84">
        <f t="shared" si="35"/>
        <v>0</v>
      </c>
      <c r="G191" s="85">
        <f t="shared" si="56"/>
        <v>0</v>
      </c>
      <c r="H191" s="292"/>
      <c r="I191" s="290"/>
      <c r="J191" s="84">
        <f t="shared" si="36"/>
        <v>0</v>
      </c>
      <c r="K191" s="85">
        <f t="shared" si="37"/>
        <v>0</v>
      </c>
      <c r="L191" s="319"/>
      <c r="M191" s="320"/>
      <c r="N191" s="84">
        <f t="shared" si="38"/>
        <v>0</v>
      </c>
      <c r="O191" s="85">
        <f t="shared" si="39"/>
        <v>0</v>
      </c>
      <c r="P191" s="319"/>
      <c r="Q191" s="320"/>
      <c r="R191" s="84">
        <f t="shared" si="40"/>
        <v>0</v>
      </c>
      <c r="S191" s="85">
        <f t="shared" si="41"/>
        <v>0</v>
      </c>
      <c r="T191" s="201">
        <f t="shared" si="42"/>
        <v>0</v>
      </c>
      <c r="U191" s="205">
        <f t="shared" si="43"/>
        <v>0</v>
      </c>
      <c r="V191" s="223">
        <f t="shared" si="44"/>
        <v>-1</v>
      </c>
      <c r="W191" s="224">
        <f t="shared" si="45"/>
        <v>0</v>
      </c>
      <c r="X191" s="225">
        <f t="shared" si="46"/>
        <v>0</v>
      </c>
      <c r="Y191" s="203"/>
      <c r="Z191" s="61">
        <f t="shared" si="47"/>
        <v>-1</v>
      </c>
      <c r="AA191" s="142">
        <f t="shared" si="48"/>
        <v>0</v>
      </c>
      <c r="AB191" s="142">
        <f t="shared" si="49"/>
        <v>0</v>
      </c>
      <c r="AE191" s="142">
        <f t="shared" si="50"/>
        <v>0</v>
      </c>
      <c r="AF191" s="142">
        <f t="shared" si="51"/>
        <v>0</v>
      </c>
      <c r="AI191" s="142">
        <f t="shared" si="52"/>
        <v>0</v>
      </c>
      <c r="AJ191" s="142">
        <f t="shared" si="53"/>
        <v>0</v>
      </c>
      <c r="AM191" s="142">
        <f t="shared" si="54"/>
        <v>0</v>
      </c>
      <c r="AN191" s="142">
        <f t="shared" si="55"/>
        <v>0</v>
      </c>
      <c r="AS191" s="169"/>
      <c r="AT191" s="169"/>
      <c r="AU191" s="169"/>
      <c r="AV191" s="169"/>
      <c r="AW191" s="169"/>
    </row>
    <row r="192" spans="1:49" ht="44.25" hidden="1">
      <c r="A192" s="270">
        <v>19</v>
      </c>
      <c r="B192" s="271"/>
      <c r="C192" s="311"/>
      <c r="D192" s="276"/>
      <c r="E192" s="275"/>
      <c r="F192" s="84">
        <f t="shared" si="35"/>
        <v>0</v>
      </c>
      <c r="G192" s="85">
        <f t="shared" si="56"/>
        <v>0</v>
      </c>
      <c r="H192" s="292"/>
      <c r="I192" s="290"/>
      <c r="J192" s="84">
        <f t="shared" si="36"/>
        <v>0</v>
      </c>
      <c r="K192" s="85">
        <f t="shared" si="37"/>
        <v>0</v>
      </c>
      <c r="L192" s="319"/>
      <c r="M192" s="320"/>
      <c r="N192" s="84">
        <f t="shared" si="38"/>
        <v>0</v>
      </c>
      <c r="O192" s="85">
        <f t="shared" si="39"/>
        <v>0</v>
      </c>
      <c r="P192" s="319"/>
      <c r="Q192" s="320"/>
      <c r="R192" s="84">
        <f t="shared" si="40"/>
        <v>0</v>
      </c>
      <c r="S192" s="85">
        <f t="shared" si="41"/>
        <v>0</v>
      </c>
      <c r="T192" s="201">
        <f t="shared" si="42"/>
        <v>0</v>
      </c>
      <c r="U192" s="205">
        <f t="shared" si="43"/>
        <v>0</v>
      </c>
      <c r="V192" s="223">
        <f t="shared" si="44"/>
        <v>-1</v>
      </c>
      <c r="W192" s="224">
        <f t="shared" si="45"/>
        <v>0</v>
      </c>
      <c r="X192" s="225">
        <f t="shared" si="46"/>
        <v>0</v>
      </c>
      <c r="Y192" s="203"/>
      <c r="Z192" s="61">
        <f t="shared" si="47"/>
        <v>-1</v>
      </c>
      <c r="AA192" s="142">
        <f t="shared" si="48"/>
        <v>0</v>
      </c>
      <c r="AB192" s="142">
        <f t="shared" si="49"/>
        <v>0</v>
      </c>
      <c r="AE192" s="142">
        <f t="shared" si="50"/>
        <v>0</v>
      </c>
      <c r="AF192" s="142">
        <f t="shared" si="51"/>
        <v>0</v>
      </c>
      <c r="AI192" s="142">
        <f t="shared" si="52"/>
        <v>0</v>
      </c>
      <c r="AJ192" s="142">
        <f t="shared" si="53"/>
        <v>0</v>
      </c>
      <c r="AM192" s="142">
        <f t="shared" si="54"/>
        <v>0</v>
      </c>
      <c r="AN192" s="142">
        <f t="shared" si="55"/>
        <v>0</v>
      </c>
      <c r="AS192" s="169"/>
      <c r="AT192" s="169"/>
      <c r="AU192" s="169"/>
      <c r="AV192" s="169"/>
      <c r="AW192" s="169"/>
    </row>
    <row r="193" spans="1:49" ht="35.25" hidden="1">
      <c r="A193" s="270">
        <v>20</v>
      </c>
      <c r="B193" s="271"/>
      <c r="C193" s="315"/>
      <c r="D193" s="260"/>
      <c r="E193" s="258"/>
      <c r="F193" s="84">
        <f t="shared" si="35"/>
        <v>0</v>
      </c>
      <c r="G193" s="85">
        <f t="shared" si="56"/>
        <v>0</v>
      </c>
      <c r="H193" s="260"/>
      <c r="I193" s="258"/>
      <c r="J193" s="84">
        <f t="shared" si="36"/>
        <v>0</v>
      </c>
      <c r="K193" s="85">
        <f t="shared" si="37"/>
        <v>0</v>
      </c>
      <c r="L193" s="260"/>
      <c r="M193" s="258"/>
      <c r="N193" s="84">
        <f t="shared" si="38"/>
        <v>0</v>
      </c>
      <c r="O193" s="85">
        <f t="shared" si="39"/>
        <v>0</v>
      </c>
      <c r="P193" s="260"/>
      <c r="Q193" s="258"/>
      <c r="R193" s="84">
        <f t="shared" si="40"/>
        <v>0</v>
      </c>
      <c r="S193" s="85">
        <f t="shared" si="41"/>
        <v>0</v>
      </c>
      <c r="T193" s="201">
        <f t="shared" si="42"/>
        <v>0</v>
      </c>
      <c r="U193" s="205">
        <f t="shared" si="43"/>
        <v>0</v>
      </c>
      <c r="V193" s="223">
        <f t="shared" si="44"/>
        <v>-1</v>
      </c>
      <c r="W193" s="224">
        <f t="shared" si="45"/>
        <v>0</v>
      </c>
      <c r="X193" s="225">
        <f t="shared" si="46"/>
        <v>0</v>
      </c>
      <c r="Y193" s="203"/>
      <c r="Z193" s="61">
        <f t="shared" si="47"/>
        <v>-1</v>
      </c>
      <c r="AA193" s="142">
        <f t="shared" si="48"/>
        <v>0</v>
      </c>
      <c r="AB193" s="142">
        <f t="shared" si="49"/>
        <v>0</v>
      </c>
      <c r="AE193" s="142">
        <f t="shared" si="50"/>
        <v>0</v>
      </c>
      <c r="AF193" s="142">
        <f t="shared" si="51"/>
        <v>0</v>
      </c>
      <c r="AI193" s="142">
        <f t="shared" si="52"/>
        <v>0</v>
      </c>
      <c r="AJ193" s="142">
        <f t="shared" si="53"/>
        <v>0</v>
      </c>
      <c r="AM193" s="142">
        <f t="shared" si="54"/>
        <v>0</v>
      </c>
      <c r="AN193" s="142">
        <f t="shared" si="55"/>
        <v>0</v>
      </c>
      <c r="AS193" s="169"/>
      <c r="AT193" s="169"/>
      <c r="AU193" s="169"/>
      <c r="AV193" s="169"/>
      <c r="AW193" s="169"/>
    </row>
    <row r="194" spans="1:49" ht="35.25" hidden="1">
      <c r="A194" s="270">
        <v>21</v>
      </c>
      <c r="B194" s="271"/>
      <c r="C194" s="309"/>
      <c r="D194" s="260"/>
      <c r="E194" s="258"/>
      <c r="F194" s="84">
        <f t="shared" si="35"/>
        <v>0</v>
      </c>
      <c r="G194" s="85">
        <f t="shared" si="56"/>
        <v>0</v>
      </c>
      <c r="H194" s="260"/>
      <c r="I194" s="258"/>
      <c r="J194" s="84">
        <f t="shared" si="36"/>
        <v>0</v>
      </c>
      <c r="K194" s="85">
        <f t="shared" si="37"/>
        <v>0</v>
      </c>
      <c r="L194" s="260"/>
      <c r="M194" s="258"/>
      <c r="N194" s="84">
        <f t="shared" si="38"/>
        <v>0</v>
      </c>
      <c r="O194" s="85">
        <f t="shared" si="39"/>
        <v>0</v>
      </c>
      <c r="P194" s="260"/>
      <c r="Q194" s="258"/>
      <c r="R194" s="84">
        <f t="shared" si="40"/>
        <v>0</v>
      </c>
      <c r="S194" s="85">
        <f t="shared" si="41"/>
        <v>0</v>
      </c>
      <c r="T194" s="201">
        <f t="shared" si="42"/>
        <v>0</v>
      </c>
      <c r="U194" s="205">
        <f t="shared" si="43"/>
        <v>0</v>
      </c>
      <c r="V194" s="223">
        <f t="shared" si="44"/>
        <v>-1</v>
      </c>
      <c r="W194" s="224">
        <f t="shared" si="45"/>
        <v>0</v>
      </c>
      <c r="X194" s="225">
        <f t="shared" si="46"/>
        <v>0</v>
      </c>
      <c r="Y194" s="203"/>
      <c r="Z194" s="61">
        <f t="shared" si="47"/>
        <v>-1</v>
      </c>
      <c r="AA194" s="142">
        <f t="shared" si="48"/>
        <v>0</v>
      </c>
      <c r="AB194" s="142">
        <f t="shared" si="49"/>
        <v>0</v>
      </c>
      <c r="AE194" s="142">
        <f t="shared" si="50"/>
        <v>0</v>
      </c>
      <c r="AF194" s="142">
        <f t="shared" si="51"/>
        <v>0</v>
      </c>
      <c r="AI194" s="142">
        <f t="shared" si="52"/>
        <v>0</v>
      </c>
      <c r="AJ194" s="142">
        <f t="shared" si="53"/>
        <v>0</v>
      </c>
      <c r="AM194" s="142">
        <f t="shared" si="54"/>
        <v>0</v>
      </c>
      <c r="AN194" s="142">
        <f t="shared" si="55"/>
        <v>0</v>
      </c>
      <c r="AS194" s="169"/>
      <c r="AT194" s="169"/>
      <c r="AU194" s="169"/>
      <c r="AV194" s="169"/>
      <c r="AW194" s="169"/>
    </row>
    <row r="195" spans="1:49" ht="35.25" hidden="1">
      <c r="A195" s="270">
        <v>22</v>
      </c>
      <c r="B195" s="271"/>
      <c r="C195" s="309"/>
      <c r="D195" s="260"/>
      <c r="E195" s="258"/>
      <c r="F195" s="84">
        <f t="shared" si="35"/>
        <v>0</v>
      </c>
      <c r="G195" s="85">
        <f t="shared" si="56"/>
        <v>0</v>
      </c>
      <c r="H195" s="260"/>
      <c r="I195" s="258"/>
      <c r="J195" s="84">
        <f t="shared" si="36"/>
        <v>0</v>
      </c>
      <c r="K195" s="85">
        <f t="shared" si="37"/>
        <v>0</v>
      </c>
      <c r="L195" s="260"/>
      <c r="M195" s="258"/>
      <c r="N195" s="84">
        <f t="shared" si="38"/>
        <v>0</v>
      </c>
      <c r="O195" s="85">
        <f t="shared" si="39"/>
        <v>0</v>
      </c>
      <c r="P195" s="260"/>
      <c r="Q195" s="258"/>
      <c r="R195" s="84">
        <f t="shared" si="40"/>
        <v>0</v>
      </c>
      <c r="S195" s="85">
        <f t="shared" si="41"/>
        <v>0</v>
      </c>
      <c r="T195" s="201">
        <f t="shared" si="42"/>
        <v>0</v>
      </c>
      <c r="U195" s="205">
        <f t="shared" si="43"/>
        <v>0</v>
      </c>
      <c r="V195" s="223">
        <f t="shared" si="44"/>
        <v>-1</v>
      </c>
      <c r="W195" s="224">
        <f t="shared" si="45"/>
        <v>0</v>
      </c>
      <c r="X195" s="225">
        <f t="shared" si="46"/>
        <v>0</v>
      </c>
      <c r="Y195" s="203"/>
      <c r="Z195" s="61">
        <f t="shared" si="47"/>
        <v>-1</v>
      </c>
      <c r="AA195" s="142">
        <f t="shared" si="48"/>
        <v>0</v>
      </c>
      <c r="AB195" s="142">
        <f t="shared" si="49"/>
        <v>0</v>
      </c>
      <c r="AE195" s="142">
        <f t="shared" si="50"/>
        <v>0</v>
      </c>
      <c r="AF195" s="142">
        <f t="shared" si="51"/>
        <v>0</v>
      </c>
      <c r="AI195" s="142">
        <f t="shared" si="52"/>
        <v>0</v>
      </c>
      <c r="AJ195" s="142">
        <f t="shared" si="53"/>
        <v>0</v>
      </c>
      <c r="AM195" s="142">
        <f t="shared" si="54"/>
        <v>0</v>
      </c>
      <c r="AN195" s="142">
        <f t="shared" si="55"/>
        <v>0</v>
      </c>
      <c r="AS195" s="169"/>
      <c r="AT195" s="169"/>
      <c r="AU195" s="169"/>
      <c r="AV195" s="169"/>
      <c r="AW195" s="169"/>
    </row>
    <row r="196" spans="1:49" ht="35.25" hidden="1">
      <c r="A196" s="270">
        <v>23</v>
      </c>
      <c r="B196" s="271"/>
      <c r="C196" s="315"/>
      <c r="D196" s="260"/>
      <c r="E196" s="258"/>
      <c r="F196" s="84">
        <f t="shared" si="35"/>
        <v>0</v>
      </c>
      <c r="G196" s="85">
        <f t="shared" si="56"/>
        <v>0</v>
      </c>
      <c r="H196" s="260"/>
      <c r="I196" s="258"/>
      <c r="J196" s="84">
        <f t="shared" si="36"/>
        <v>0</v>
      </c>
      <c r="K196" s="85">
        <f t="shared" si="37"/>
        <v>0</v>
      </c>
      <c r="L196" s="260"/>
      <c r="M196" s="258"/>
      <c r="N196" s="84">
        <f t="shared" si="38"/>
        <v>0</v>
      </c>
      <c r="O196" s="85">
        <f t="shared" si="39"/>
        <v>0</v>
      </c>
      <c r="P196" s="260"/>
      <c r="Q196" s="258"/>
      <c r="R196" s="84">
        <f t="shared" si="40"/>
        <v>0</v>
      </c>
      <c r="S196" s="85">
        <f t="shared" si="41"/>
        <v>0</v>
      </c>
      <c r="T196" s="201">
        <f t="shared" si="42"/>
        <v>0</v>
      </c>
      <c r="U196" s="205">
        <f t="shared" si="43"/>
        <v>0</v>
      </c>
      <c r="V196" s="223">
        <f t="shared" si="44"/>
        <v>-1</v>
      </c>
      <c r="W196" s="224">
        <f t="shared" si="45"/>
        <v>0</v>
      </c>
      <c r="X196" s="225">
        <f t="shared" si="46"/>
        <v>0</v>
      </c>
      <c r="Y196" s="203"/>
      <c r="Z196" s="61">
        <f t="shared" si="47"/>
        <v>-1</v>
      </c>
      <c r="AA196" s="142">
        <f t="shared" si="48"/>
        <v>0</v>
      </c>
      <c r="AB196" s="142">
        <f t="shared" si="49"/>
        <v>0</v>
      </c>
      <c r="AE196" s="142">
        <f t="shared" si="50"/>
        <v>0</v>
      </c>
      <c r="AF196" s="142">
        <f t="shared" si="51"/>
        <v>0</v>
      </c>
      <c r="AI196" s="142">
        <f t="shared" si="52"/>
        <v>0</v>
      </c>
      <c r="AJ196" s="142">
        <f t="shared" si="53"/>
        <v>0</v>
      </c>
      <c r="AM196" s="142">
        <f t="shared" si="54"/>
        <v>0</v>
      </c>
      <c r="AN196" s="142">
        <f t="shared" si="55"/>
        <v>0</v>
      </c>
      <c r="AS196" s="169"/>
      <c r="AT196" s="169"/>
      <c r="AU196" s="169"/>
      <c r="AV196" s="169"/>
      <c r="AW196" s="169"/>
    </row>
    <row r="197" spans="1:49" ht="36" hidden="1" thickBot="1">
      <c r="A197" s="272">
        <v>24</v>
      </c>
      <c r="B197" s="273"/>
      <c r="C197" s="312"/>
      <c r="D197" s="260"/>
      <c r="E197" s="258"/>
      <c r="F197" s="193">
        <f t="shared" si="35"/>
        <v>0</v>
      </c>
      <c r="G197" s="194">
        <f t="shared" si="56"/>
        <v>0</v>
      </c>
      <c r="H197" s="260"/>
      <c r="I197" s="258"/>
      <c r="J197" s="193">
        <f t="shared" si="36"/>
        <v>0</v>
      </c>
      <c r="K197" s="194">
        <f t="shared" si="37"/>
        <v>0</v>
      </c>
      <c r="L197" s="260"/>
      <c r="M197" s="258"/>
      <c r="N197" s="193">
        <f t="shared" si="38"/>
        <v>0</v>
      </c>
      <c r="O197" s="194">
        <f t="shared" si="39"/>
        <v>0</v>
      </c>
      <c r="P197" s="260"/>
      <c r="Q197" s="258"/>
      <c r="R197" s="193">
        <f t="shared" si="40"/>
        <v>0</v>
      </c>
      <c r="S197" s="194">
        <f t="shared" si="41"/>
        <v>0</v>
      </c>
      <c r="T197" s="202">
        <f t="shared" si="42"/>
        <v>0</v>
      </c>
      <c r="U197" s="207">
        <f t="shared" si="43"/>
        <v>0</v>
      </c>
      <c r="V197" s="227">
        <f t="shared" si="44"/>
        <v>-1</v>
      </c>
      <c r="W197" s="228">
        <f t="shared" si="45"/>
        <v>0</v>
      </c>
      <c r="X197" s="230">
        <f t="shared" si="46"/>
        <v>0</v>
      </c>
      <c r="Y197" s="203"/>
      <c r="Z197" s="61">
        <f t="shared" si="47"/>
        <v>-1</v>
      </c>
      <c r="AA197" s="142">
        <f t="shared" si="48"/>
        <v>0</v>
      </c>
      <c r="AB197" s="142">
        <f t="shared" si="49"/>
        <v>0</v>
      </c>
      <c r="AE197" s="142">
        <f t="shared" si="50"/>
        <v>0</v>
      </c>
      <c r="AF197" s="142">
        <f t="shared" si="51"/>
        <v>0</v>
      </c>
      <c r="AI197" s="142">
        <f t="shared" si="52"/>
        <v>0</v>
      </c>
      <c r="AJ197" s="142">
        <f t="shared" si="53"/>
        <v>0</v>
      </c>
      <c r="AM197" s="142">
        <f t="shared" si="54"/>
        <v>0</v>
      </c>
      <c r="AN197" s="142">
        <f t="shared" si="55"/>
        <v>0</v>
      </c>
      <c r="AS197" s="169"/>
      <c r="AT197" s="169"/>
      <c r="AU197" s="169"/>
      <c r="AV197" s="169"/>
      <c r="AW197" s="169"/>
    </row>
    <row r="198" spans="1:49" ht="44.25" hidden="1">
      <c r="A198" s="268">
        <v>25</v>
      </c>
      <c r="B198" s="269"/>
      <c r="C198" s="313"/>
      <c r="D198" s="306"/>
      <c r="E198" s="305"/>
      <c r="F198" s="176">
        <f t="shared" si="35"/>
        <v>0</v>
      </c>
      <c r="G198" s="177">
        <f t="shared" si="56"/>
        <v>0</v>
      </c>
      <c r="H198" s="316"/>
      <c r="I198" s="317"/>
      <c r="J198" s="176">
        <f t="shared" si="36"/>
        <v>0</v>
      </c>
      <c r="K198" s="177">
        <f t="shared" si="37"/>
        <v>0</v>
      </c>
      <c r="L198" s="321"/>
      <c r="M198" s="322"/>
      <c r="N198" s="176">
        <f t="shared" si="38"/>
        <v>0</v>
      </c>
      <c r="O198" s="177">
        <f t="shared" si="39"/>
        <v>0</v>
      </c>
      <c r="P198" s="321"/>
      <c r="Q198" s="322"/>
      <c r="R198" s="176">
        <f t="shared" si="40"/>
        <v>0</v>
      </c>
      <c r="S198" s="177">
        <f t="shared" si="41"/>
        <v>0</v>
      </c>
      <c r="T198" s="200">
        <f t="shared" si="42"/>
        <v>0</v>
      </c>
      <c r="U198" s="206">
        <f t="shared" si="43"/>
        <v>0</v>
      </c>
      <c r="V198" s="221">
        <f t="shared" si="44"/>
        <v>-1</v>
      </c>
      <c r="W198" s="229">
        <f t="shared" si="45"/>
        <v>0</v>
      </c>
      <c r="X198" s="222">
        <f t="shared" si="46"/>
        <v>0</v>
      </c>
      <c r="Y198" s="203"/>
      <c r="Z198" s="61">
        <f t="shared" si="47"/>
        <v>-1</v>
      </c>
      <c r="AA198" s="142">
        <f t="shared" si="48"/>
        <v>0</v>
      </c>
      <c r="AB198" s="142">
        <f t="shared" si="49"/>
        <v>0</v>
      </c>
      <c r="AE198" s="142">
        <f t="shared" si="50"/>
        <v>0</v>
      </c>
      <c r="AF198" s="142">
        <f t="shared" si="51"/>
        <v>0</v>
      </c>
      <c r="AI198" s="142">
        <f t="shared" si="52"/>
        <v>0</v>
      </c>
      <c r="AJ198" s="142">
        <f t="shared" si="53"/>
        <v>0</v>
      </c>
      <c r="AM198" s="142">
        <f t="shared" si="54"/>
        <v>0</v>
      </c>
      <c r="AN198" s="142">
        <f t="shared" si="55"/>
        <v>0</v>
      </c>
      <c r="AS198" s="169"/>
      <c r="AT198" s="169"/>
      <c r="AU198" s="169"/>
      <c r="AV198" s="169"/>
      <c r="AW198" s="169"/>
    </row>
    <row r="199" spans="1:49" ht="35.25" hidden="1">
      <c r="A199" s="270">
        <v>26</v>
      </c>
      <c r="B199" s="271"/>
      <c r="C199" s="315"/>
      <c r="D199" s="260"/>
      <c r="E199" s="258"/>
      <c r="F199" s="84">
        <f t="shared" si="35"/>
        <v>0</v>
      </c>
      <c r="G199" s="85">
        <f t="shared" si="56"/>
        <v>0</v>
      </c>
      <c r="H199" s="260"/>
      <c r="I199" s="258"/>
      <c r="J199" s="84">
        <f t="shared" si="36"/>
        <v>0</v>
      </c>
      <c r="K199" s="85">
        <f t="shared" si="37"/>
        <v>0</v>
      </c>
      <c r="L199" s="260"/>
      <c r="M199" s="258"/>
      <c r="N199" s="84">
        <f t="shared" si="38"/>
        <v>0</v>
      </c>
      <c r="O199" s="85">
        <f t="shared" si="39"/>
        <v>0</v>
      </c>
      <c r="P199" s="260"/>
      <c r="Q199" s="258"/>
      <c r="R199" s="84">
        <f t="shared" si="40"/>
        <v>0</v>
      </c>
      <c r="S199" s="85">
        <f t="shared" si="41"/>
        <v>0</v>
      </c>
      <c r="T199" s="201">
        <f t="shared" si="42"/>
        <v>0</v>
      </c>
      <c r="U199" s="205">
        <f t="shared" si="43"/>
        <v>0</v>
      </c>
      <c r="V199" s="223">
        <f t="shared" si="44"/>
        <v>-1</v>
      </c>
      <c r="W199" s="224">
        <f t="shared" si="45"/>
        <v>0</v>
      </c>
      <c r="X199" s="225">
        <f t="shared" si="46"/>
        <v>0</v>
      </c>
      <c r="Y199" s="203"/>
      <c r="Z199" s="61">
        <f t="shared" si="47"/>
        <v>-1</v>
      </c>
      <c r="AA199" s="142">
        <f t="shared" si="48"/>
        <v>0</v>
      </c>
      <c r="AB199" s="142">
        <f t="shared" si="49"/>
        <v>0</v>
      </c>
      <c r="AE199" s="142">
        <f t="shared" si="50"/>
        <v>0</v>
      </c>
      <c r="AF199" s="142">
        <f t="shared" si="51"/>
        <v>0</v>
      </c>
      <c r="AI199" s="142">
        <f t="shared" si="52"/>
        <v>0</v>
      </c>
      <c r="AJ199" s="142">
        <f t="shared" si="53"/>
        <v>0</v>
      </c>
      <c r="AM199" s="142">
        <f t="shared" si="54"/>
        <v>0</v>
      </c>
      <c r="AN199" s="142">
        <f t="shared" si="55"/>
        <v>0</v>
      </c>
      <c r="AS199" s="169"/>
      <c r="AT199" s="169"/>
      <c r="AU199" s="169"/>
      <c r="AV199" s="169"/>
      <c r="AW199" s="169"/>
    </row>
    <row r="200" spans="1:49" ht="35.25" hidden="1">
      <c r="A200" s="270">
        <v>27</v>
      </c>
      <c r="B200" s="271"/>
      <c r="C200" s="310"/>
      <c r="D200" s="260"/>
      <c r="E200" s="258"/>
      <c r="F200" s="84">
        <f t="shared" si="35"/>
        <v>0</v>
      </c>
      <c r="G200" s="85">
        <f t="shared" si="56"/>
        <v>0</v>
      </c>
      <c r="H200" s="260"/>
      <c r="I200" s="258"/>
      <c r="J200" s="84">
        <f t="shared" si="36"/>
        <v>0</v>
      </c>
      <c r="K200" s="85">
        <f t="shared" si="37"/>
        <v>0</v>
      </c>
      <c r="L200" s="260"/>
      <c r="M200" s="258"/>
      <c r="N200" s="84">
        <f t="shared" si="38"/>
        <v>0</v>
      </c>
      <c r="O200" s="85">
        <f t="shared" si="39"/>
        <v>0</v>
      </c>
      <c r="P200" s="260"/>
      <c r="Q200" s="258"/>
      <c r="R200" s="84">
        <f t="shared" si="40"/>
        <v>0</v>
      </c>
      <c r="S200" s="85">
        <f t="shared" si="41"/>
        <v>0</v>
      </c>
      <c r="T200" s="201">
        <f t="shared" si="42"/>
        <v>0</v>
      </c>
      <c r="U200" s="205">
        <f t="shared" si="43"/>
        <v>0</v>
      </c>
      <c r="V200" s="223">
        <f t="shared" si="44"/>
        <v>-1</v>
      </c>
      <c r="W200" s="224">
        <f t="shared" si="45"/>
        <v>0</v>
      </c>
      <c r="X200" s="225">
        <f t="shared" si="46"/>
        <v>0</v>
      </c>
      <c r="Y200" s="203"/>
      <c r="Z200" s="61">
        <f t="shared" si="47"/>
        <v>-1</v>
      </c>
      <c r="AA200" s="142">
        <f t="shared" si="48"/>
        <v>0</v>
      </c>
      <c r="AB200" s="142">
        <f t="shared" si="49"/>
        <v>0</v>
      </c>
      <c r="AE200" s="142">
        <f t="shared" si="50"/>
        <v>0</v>
      </c>
      <c r="AF200" s="142">
        <f t="shared" si="51"/>
        <v>0</v>
      </c>
      <c r="AI200" s="142">
        <f t="shared" si="52"/>
        <v>0</v>
      </c>
      <c r="AJ200" s="142">
        <f t="shared" si="53"/>
        <v>0</v>
      </c>
      <c r="AM200" s="142">
        <f t="shared" si="54"/>
        <v>0</v>
      </c>
      <c r="AN200" s="142">
        <f t="shared" si="55"/>
        <v>0</v>
      </c>
      <c r="AS200" s="169"/>
      <c r="AT200" s="169"/>
      <c r="AU200" s="169"/>
      <c r="AV200" s="169"/>
      <c r="AW200" s="169"/>
    </row>
    <row r="201" spans="1:49" ht="35.25" hidden="1">
      <c r="A201" s="270">
        <v>28</v>
      </c>
      <c r="B201" s="271"/>
      <c r="C201" s="309"/>
      <c r="D201" s="260"/>
      <c r="E201" s="258"/>
      <c r="F201" s="84">
        <f t="shared" si="35"/>
        <v>0</v>
      </c>
      <c r="G201" s="85">
        <f t="shared" si="56"/>
        <v>0</v>
      </c>
      <c r="H201" s="260"/>
      <c r="I201" s="258"/>
      <c r="J201" s="84">
        <f t="shared" si="36"/>
        <v>0</v>
      </c>
      <c r="K201" s="85">
        <f t="shared" si="37"/>
        <v>0</v>
      </c>
      <c r="L201" s="260"/>
      <c r="M201" s="258"/>
      <c r="N201" s="84">
        <f t="shared" si="38"/>
        <v>0</v>
      </c>
      <c r="O201" s="85">
        <f t="shared" si="39"/>
        <v>0</v>
      </c>
      <c r="P201" s="260"/>
      <c r="Q201" s="258"/>
      <c r="R201" s="84">
        <f t="shared" si="40"/>
        <v>0</v>
      </c>
      <c r="S201" s="85">
        <f t="shared" si="41"/>
        <v>0</v>
      </c>
      <c r="T201" s="201">
        <f t="shared" si="42"/>
        <v>0</v>
      </c>
      <c r="U201" s="205">
        <f t="shared" si="43"/>
        <v>0</v>
      </c>
      <c r="V201" s="223">
        <f t="shared" si="44"/>
        <v>-1</v>
      </c>
      <c r="W201" s="224">
        <f t="shared" si="45"/>
        <v>0</v>
      </c>
      <c r="X201" s="225">
        <f t="shared" si="46"/>
        <v>0</v>
      </c>
      <c r="Y201" s="203"/>
      <c r="Z201" s="61">
        <f t="shared" si="47"/>
        <v>-1</v>
      </c>
      <c r="AA201" s="142">
        <f t="shared" si="48"/>
        <v>0</v>
      </c>
      <c r="AB201" s="142">
        <f t="shared" si="49"/>
        <v>0</v>
      </c>
      <c r="AE201" s="142">
        <f t="shared" si="50"/>
        <v>0</v>
      </c>
      <c r="AF201" s="142">
        <f t="shared" si="51"/>
        <v>0</v>
      </c>
      <c r="AI201" s="142">
        <f t="shared" si="52"/>
        <v>0</v>
      </c>
      <c r="AJ201" s="142">
        <f t="shared" si="53"/>
        <v>0</v>
      </c>
      <c r="AM201" s="142">
        <f t="shared" si="54"/>
        <v>0</v>
      </c>
      <c r="AN201" s="142">
        <f t="shared" si="55"/>
        <v>0</v>
      </c>
      <c r="AS201" s="169"/>
      <c r="AT201" s="169"/>
      <c r="AU201" s="169"/>
      <c r="AV201" s="169"/>
      <c r="AW201" s="169"/>
    </row>
    <row r="202" spans="1:49" ht="35.25" hidden="1">
      <c r="A202" s="270">
        <v>29</v>
      </c>
      <c r="B202" s="271"/>
      <c r="C202" s="315"/>
      <c r="D202" s="260"/>
      <c r="E202" s="258"/>
      <c r="F202" s="84">
        <f t="shared" si="35"/>
        <v>0</v>
      </c>
      <c r="G202" s="85">
        <f t="shared" si="56"/>
        <v>0</v>
      </c>
      <c r="H202" s="260"/>
      <c r="I202" s="258"/>
      <c r="J202" s="84">
        <f t="shared" si="36"/>
        <v>0</v>
      </c>
      <c r="K202" s="85">
        <f t="shared" si="37"/>
        <v>0</v>
      </c>
      <c r="L202" s="260"/>
      <c r="M202" s="258"/>
      <c r="N202" s="84">
        <f t="shared" si="38"/>
        <v>0</v>
      </c>
      <c r="O202" s="85">
        <f t="shared" si="39"/>
        <v>0</v>
      </c>
      <c r="P202" s="260"/>
      <c r="Q202" s="258"/>
      <c r="R202" s="84">
        <f t="shared" si="40"/>
        <v>0</v>
      </c>
      <c r="S202" s="85">
        <f t="shared" si="41"/>
        <v>0</v>
      </c>
      <c r="T202" s="201">
        <f t="shared" si="42"/>
        <v>0</v>
      </c>
      <c r="U202" s="205">
        <f t="shared" si="43"/>
        <v>0</v>
      </c>
      <c r="V202" s="223">
        <f t="shared" si="44"/>
        <v>-1</v>
      </c>
      <c r="W202" s="224">
        <f t="shared" si="45"/>
        <v>0</v>
      </c>
      <c r="X202" s="225">
        <f t="shared" si="46"/>
        <v>0</v>
      </c>
      <c r="Y202" s="203"/>
      <c r="Z202" s="61">
        <f t="shared" si="47"/>
        <v>-1</v>
      </c>
      <c r="AA202" s="142">
        <f t="shared" si="48"/>
        <v>0</v>
      </c>
      <c r="AB202" s="142">
        <f t="shared" si="49"/>
        <v>0</v>
      </c>
      <c r="AE202" s="142">
        <f t="shared" si="50"/>
        <v>0</v>
      </c>
      <c r="AF202" s="142">
        <f t="shared" si="51"/>
        <v>0</v>
      </c>
      <c r="AI202" s="142">
        <f t="shared" si="52"/>
        <v>0</v>
      </c>
      <c r="AJ202" s="142">
        <f t="shared" si="53"/>
        <v>0</v>
      </c>
      <c r="AM202" s="142">
        <f t="shared" si="54"/>
        <v>0</v>
      </c>
      <c r="AN202" s="142">
        <f t="shared" si="55"/>
        <v>0</v>
      </c>
      <c r="AS202" s="169"/>
      <c r="AT202" s="169"/>
      <c r="AU202" s="169"/>
      <c r="AV202" s="169"/>
      <c r="AW202" s="169"/>
    </row>
    <row r="203" spans="1:49" ht="35.25" hidden="1">
      <c r="A203" s="270">
        <v>30</v>
      </c>
      <c r="B203" s="271"/>
      <c r="C203" s="309"/>
      <c r="D203" s="260"/>
      <c r="E203" s="258"/>
      <c r="F203" s="84">
        <f t="shared" si="35"/>
        <v>0</v>
      </c>
      <c r="G203" s="85">
        <f t="shared" si="56"/>
        <v>0</v>
      </c>
      <c r="H203" s="260"/>
      <c r="I203" s="258"/>
      <c r="J203" s="84">
        <f t="shared" si="36"/>
        <v>0</v>
      </c>
      <c r="K203" s="85">
        <f t="shared" si="37"/>
        <v>0</v>
      </c>
      <c r="L203" s="260"/>
      <c r="M203" s="258"/>
      <c r="N203" s="84">
        <f t="shared" si="38"/>
        <v>0</v>
      </c>
      <c r="O203" s="85">
        <f t="shared" si="39"/>
        <v>0</v>
      </c>
      <c r="P203" s="260"/>
      <c r="Q203" s="258"/>
      <c r="R203" s="84">
        <f t="shared" si="40"/>
        <v>0</v>
      </c>
      <c r="S203" s="85">
        <f t="shared" si="41"/>
        <v>0</v>
      </c>
      <c r="T203" s="201">
        <f t="shared" si="42"/>
        <v>0</v>
      </c>
      <c r="U203" s="205">
        <f t="shared" si="43"/>
        <v>0</v>
      </c>
      <c r="V203" s="223">
        <f t="shared" si="44"/>
        <v>-1</v>
      </c>
      <c r="W203" s="224">
        <f t="shared" si="45"/>
        <v>0</v>
      </c>
      <c r="X203" s="226">
        <f t="shared" si="46"/>
        <v>0</v>
      </c>
      <c r="Y203" s="203"/>
      <c r="Z203" s="61">
        <f t="shared" si="47"/>
        <v>-1</v>
      </c>
      <c r="AA203" s="142">
        <f t="shared" si="48"/>
        <v>0</v>
      </c>
      <c r="AB203" s="142">
        <f t="shared" si="49"/>
        <v>0</v>
      </c>
      <c r="AE203" s="142">
        <f t="shared" si="50"/>
        <v>0</v>
      </c>
      <c r="AF203" s="142">
        <f t="shared" si="51"/>
        <v>0</v>
      </c>
      <c r="AI203" s="142">
        <f t="shared" si="52"/>
        <v>0</v>
      </c>
      <c r="AJ203" s="142">
        <f t="shared" si="53"/>
        <v>0</v>
      </c>
      <c r="AM203" s="142">
        <f t="shared" si="54"/>
        <v>0</v>
      </c>
      <c r="AN203" s="142">
        <f t="shared" si="55"/>
        <v>0</v>
      </c>
      <c r="AS203" s="169"/>
      <c r="AT203" s="169"/>
      <c r="AU203" s="169"/>
      <c r="AV203" s="169"/>
      <c r="AW203" s="169"/>
    </row>
    <row r="204" spans="1:49" ht="35.25" hidden="1">
      <c r="A204" s="270">
        <v>31</v>
      </c>
      <c r="B204" s="271"/>
      <c r="C204" s="309"/>
      <c r="D204" s="260"/>
      <c r="E204" s="258"/>
      <c r="F204" s="84">
        <f t="shared" si="35"/>
        <v>0</v>
      </c>
      <c r="G204" s="85">
        <f t="shared" si="56"/>
        <v>0</v>
      </c>
      <c r="H204" s="260"/>
      <c r="I204" s="258"/>
      <c r="J204" s="84">
        <f t="shared" si="36"/>
        <v>0</v>
      </c>
      <c r="K204" s="85">
        <f t="shared" si="37"/>
        <v>0</v>
      </c>
      <c r="L204" s="260"/>
      <c r="M204" s="258"/>
      <c r="N204" s="84">
        <f t="shared" si="38"/>
        <v>0</v>
      </c>
      <c r="O204" s="85">
        <f t="shared" si="39"/>
        <v>0</v>
      </c>
      <c r="P204" s="260"/>
      <c r="Q204" s="258"/>
      <c r="R204" s="84">
        <f t="shared" si="40"/>
        <v>0</v>
      </c>
      <c r="S204" s="85">
        <f t="shared" si="41"/>
        <v>0</v>
      </c>
      <c r="T204" s="201">
        <f t="shared" si="42"/>
        <v>0</v>
      </c>
      <c r="U204" s="205">
        <f t="shared" si="43"/>
        <v>0</v>
      </c>
      <c r="V204" s="223">
        <f t="shared" si="44"/>
        <v>-1</v>
      </c>
      <c r="W204" s="224">
        <f t="shared" si="45"/>
        <v>0</v>
      </c>
      <c r="X204" s="225">
        <f t="shared" si="46"/>
        <v>0</v>
      </c>
      <c r="Y204" s="203"/>
      <c r="Z204" s="61">
        <f t="shared" si="47"/>
        <v>-1</v>
      </c>
      <c r="AA204" s="142">
        <f t="shared" si="48"/>
        <v>0</v>
      </c>
      <c r="AB204" s="142">
        <f t="shared" si="49"/>
        <v>0</v>
      </c>
      <c r="AE204" s="142">
        <f t="shared" si="50"/>
        <v>0</v>
      </c>
      <c r="AF204" s="142">
        <f t="shared" si="51"/>
        <v>0</v>
      </c>
      <c r="AI204" s="142">
        <f t="shared" si="52"/>
        <v>0</v>
      </c>
      <c r="AJ204" s="142">
        <f t="shared" si="53"/>
        <v>0</v>
      </c>
      <c r="AM204" s="142">
        <f t="shared" si="54"/>
        <v>0</v>
      </c>
      <c r="AN204" s="142">
        <f t="shared" si="55"/>
        <v>0</v>
      </c>
      <c r="AS204" s="169"/>
      <c r="AT204" s="169"/>
      <c r="AU204" s="169"/>
      <c r="AV204" s="169"/>
      <c r="AW204" s="169"/>
    </row>
    <row r="205" spans="1:49" ht="36" hidden="1" thickBot="1">
      <c r="A205" s="272">
        <v>32</v>
      </c>
      <c r="B205" s="273"/>
      <c r="C205" s="312"/>
      <c r="D205" s="264"/>
      <c r="E205" s="259"/>
      <c r="F205" s="86">
        <f t="shared" si="35"/>
        <v>0</v>
      </c>
      <c r="G205" s="87">
        <f t="shared" si="56"/>
        <v>0</v>
      </c>
      <c r="H205" s="264"/>
      <c r="I205" s="259"/>
      <c r="J205" s="86">
        <f t="shared" si="36"/>
        <v>0</v>
      </c>
      <c r="K205" s="87">
        <f t="shared" si="37"/>
        <v>0</v>
      </c>
      <c r="L205" s="264"/>
      <c r="M205" s="259"/>
      <c r="N205" s="86">
        <f t="shared" si="38"/>
        <v>0</v>
      </c>
      <c r="O205" s="87">
        <f t="shared" si="39"/>
        <v>0</v>
      </c>
      <c r="P205" s="264"/>
      <c r="Q205" s="259"/>
      <c r="R205" s="86">
        <f t="shared" si="40"/>
        <v>0</v>
      </c>
      <c r="S205" s="87">
        <f t="shared" si="41"/>
        <v>0</v>
      </c>
      <c r="T205" s="202">
        <f t="shared" si="42"/>
        <v>0</v>
      </c>
      <c r="U205" s="207">
        <f t="shared" si="43"/>
        <v>0</v>
      </c>
      <c r="V205" s="227">
        <f t="shared" si="44"/>
        <v>-1</v>
      </c>
      <c r="W205" s="228">
        <f t="shared" si="45"/>
        <v>0</v>
      </c>
      <c r="X205" s="307">
        <f t="shared" si="46"/>
        <v>0</v>
      </c>
      <c r="Y205" s="203"/>
      <c r="Z205" s="61">
        <f t="shared" si="47"/>
        <v>-1</v>
      </c>
      <c r="AA205" s="142">
        <f t="shared" si="48"/>
        <v>0</v>
      </c>
      <c r="AB205" s="142">
        <f t="shared" si="49"/>
        <v>0</v>
      </c>
      <c r="AE205" s="142">
        <f t="shared" si="50"/>
        <v>0</v>
      </c>
      <c r="AF205" s="142">
        <f t="shared" si="51"/>
        <v>0</v>
      </c>
      <c r="AI205" s="142">
        <f t="shared" si="52"/>
        <v>0</v>
      </c>
      <c r="AJ205" s="142">
        <f t="shared" si="53"/>
        <v>0</v>
      </c>
      <c r="AM205" s="142">
        <f t="shared" si="54"/>
        <v>0</v>
      </c>
      <c r="AN205" s="142">
        <f t="shared" si="55"/>
        <v>0</v>
      </c>
      <c r="AS205" s="169"/>
      <c r="AT205" s="169"/>
      <c r="AU205" s="169"/>
      <c r="AV205" s="169"/>
      <c r="AW205" s="169"/>
    </row>
    <row r="206" spans="1:49" ht="35.25" hidden="1">
      <c r="A206" s="268">
        <v>33</v>
      </c>
      <c r="B206" s="269"/>
      <c r="C206" s="308"/>
      <c r="D206" s="260"/>
      <c r="E206" s="262"/>
      <c r="F206" s="90">
        <f t="shared" si="35"/>
        <v>0</v>
      </c>
      <c r="G206" s="91">
        <f t="shared" si="56"/>
        <v>0</v>
      </c>
      <c r="H206" s="260"/>
      <c r="I206" s="262"/>
      <c r="J206" s="90">
        <f t="shared" si="36"/>
        <v>0</v>
      </c>
      <c r="K206" s="91">
        <f t="shared" si="37"/>
        <v>0</v>
      </c>
      <c r="L206" s="260"/>
      <c r="M206" s="262"/>
      <c r="N206" s="90">
        <f t="shared" si="38"/>
        <v>0</v>
      </c>
      <c r="O206" s="91">
        <f t="shared" si="39"/>
        <v>0</v>
      </c>
      <c r="P206" s="260"/>
      <c r="Q206" s="262"/>
      <c r="R206" s="90">
        <f t="shared" si="40"/>
        <v>0</v>
      </c>
      <c r="S206" s="91">
        <f t="shared" si="41"/>
        <v>0</v>
      </c>
      <c r="T206" s="200">
        <f t="shared" si="42"/>
        <v>0</v>
      </c>
      <c r="U206" s="206">
        <f t="shared" si="43"/>
        <v>0</v>
      </c>
      <c r="V206" s="221">
        <f t="shared" si="44"/>
        <v>-1</v>
      </c>
      <c r="W206" s="229">
        <f t="shared" si="45"/>
        <v>0</v>
      </c>
      <c r="X206" s="222">
        <f t="shared" si="46"/>
        <v>0</v>
      </c>
      <c r="Y206" s="203"/>
      <c r="Z206" s="61">
        <f t="shared" si="47"/>
        <v>-1</v>
      </c>
      <c r="AA206" s="142">
        <f t="shared" si="48"/>
        <v>0</v>
      </c>
      <c r="AB206" s="142">
        <f t="shared" si="49"/>
        <v>0</v>
      </c>
      <c r="AE206" s="142">
        <f t="shared" si="50"/>
        <v>0</v>
      </c>
      <c r="AF206" s="142">
        <f t="shared" si="51"/>
        <v>0</v>
      </c>
      <c r="AI206" s="142">
        <f t="shared" si="52"/>
        <v>0</v>
      </c>
      <c r="AJ206" s="142">
        <f t="shared" si="53"/>
        <v>0</v>
      </c>
      <c r="AM206" s="142">
        <f t="shared" si="54"/>
        <v>0</v>
      </c>
      <c r="AN206" s="142">
        <f t="shared" si="55"/>
        <v>0</v>
      </c>
      <c r="AS206" s="169"/>
      <c r="AT206" s="169"/>
      <c r="AU206" s="169"/>
      <c r="AV206" s="169"/>
      <c r="AW206" s="169"/>
    </row>
    <row r="207" spans="1:49" ht="35.25" hidden="1">
      <c r="A207" s="270">
        <v>34</v>
      </c>
      <c r="B207" s="271"/>
      <c r="C207" s="309"/>
      <c r="D207" s="260"/>
      <c r="E207" s="258"/>
      <c r="F207" s="84">
        <f t="shared" si="35"/>
        <v>0</v>
      </c>
      <c r="G207" s="85">
        <f t="shared" si="56"/>
        <v>0</v>
      </c>
      <c r="H207" s="260"/>
      <c r="I207" s="258"/>
      <c r="J207" s="84">
        <f t="shared" si="36"/>
        <v>0</v>
      </c>
      <c r="K207" s="85">
        <f t="shared" si="37"/>
        <v>0</v>
      </c>
      <c r="L207" s="260"/>
      <c r="M207" s="258"/>
      <c r="N207" s="84">
        <f t="shared" si="38"/>
        <v>0</v>
      </c>
      <c r="O207" s="85">
        <f t="shared" si="39"/>
        <v>0</v>
      </c>
      <c r="P207" s="260"/>
      <c r="Q207" s="258"/>
      <c r="R207" s="84">
        <f t="shared" si="40"/>
        <v>0</v>
      </c>
      <c r="S207" s="85">
        <f t="shared" si="41"/>
        <v>0</v>
      </c>
      <c r="T207" s="201">
        <f t="shared" si="42"/>
        <v>0</v>
      </c>
      <c r="U207" s="205">
        <f t="shared" si="43"/>
        <v>0</v>
      </c>
      <c r="V207" s="223">
        <f t="shared" si="44"/>
        <v>-1</v>
      </c>
      <c r="W207" s="224">
        <f t="shared" si="45"/>
        <v>0</v>
      </c>
      <c r="X207" s="225">
        <f t="shared" si="46"/>
        <v>0</v>
      </c>
      <c r="Y207" s="203"/>
      <c r="Z207" s="61">
        <f t="shared" si="47"/>
        <v>-1</v>
      </c>
      <c r="AA207" s="142">
        <f t="shared" si="48"/>
        <v>0</v>
      </c>
      <c r="AB207" s="142">
        <f t="shared" si="49"/>
        <v>0</v>
      </c>
      <c r="AE207" s="142">
        <f t="shared" si="50"/>
        <v>0</v>
      </c>
      <c r="AF207" s="142">
        <f t="shared" si="51"/>
        <v>0</v>
      </c>
      <c r="AI207" s="142">
        <f t="shared" si="52"/>
        <v>0</v>
      </c>
      <c r="AJ207" s="142">
        <f t="shared" si="53"/>
        <v>0</v>
      </c>
      <c r="AM207" s="142">
        <f t="shared" si="54"/>
        <v>0</v>
      </c>
      <c r="AN207" s="142">
        <f t="shared" si="55"/>
        <v>0</v>
      </c>
      <c r="AS207" s="169"/>
      <c r="AT207" s="169"/>
      <c r="AU207" s="169"/>
      <c r="AV207" s="169"/>
      <c r="AW207" s="169"/>
    </row>
    <row r="208" spans="1:49" ht="35.25" hidden="1">
      <c r="A208" s="270">
        <v>35</v>
      </c>
      <c r="B208" s="271"/>
      <c r="C208" s="309"/>
      <c r="D208" s="260"/>
      <c r="E208" s="258"/>
      <c r="F208" s="84">
        <f t="shared" si="35"/>
        <v>0</v>
      </c>
      <c r="G208" s="85">
        <f t="shared" si="56"/>
        <v>0</v>
      </c>
      <c r="H208" s="260"/>
      <c r="I208" s="258"/>
      <c r="J208" s="84">
        <f t="shared" si="36"/>
        <v>0</v>
      </c>
      <c r="K208" s="85">
        <f t="shared" si="37"/>
        <v>0</v>
      </c>
      <c r="L208" s="260"/>
      <c r="M208" s="258"/>
      <c r="N208" s="84">
        <f t="shared" si="38"/>
        <v>0</v>
      </c>
      <c r="O208" s="85">
        <f t="shared" si="39"/>
        <v>0</v>
      </c>
      <c r="P208" s="260"/>
      <c r="Q208" s="258"/>
      <c r="R208" s="84">
        <f t="shared" si="40"/>
        <v>0</v>
      </c>
      <c r="S208" s="85">
        <f t="shared" si="41"/>
        <v>0</v>
      </c>
      <c r="T208" s="201">
        <f t="shared" si="42"/>
        <v>0</v>
      </c>
      <c r="U208" s="205">
        <f t="shared" si="43"/>
        <v>0</v>
      </c>
      <c r="V208" s="223">
        <f t="shared" si="44"/>
        <v>-1</v>
      </c>
      <c r="W208" s="224">
        <f t="shared" si="45"/>
        <v>0</v>
      </c>
      <c r="X208" s="225">
        <f t="shared" si="46"/>
        <v>0</v>
      </c>
      <c r="Y208" s="203"/>
      <c r="Z208" s="61">
        <f t="shared" si="47"/>
        <v>-1</v>
      </c>
      <c r="AA208" s="142">
        <f t="shared" si="48"/>
        <v>0</v>
      </c>
      <c r="AB208" s="142">
        <f t="shared" si="49"/>
        <v>0</v>
      </c>
      <c r="AE208" s="142">
        <f t="shared" si="50"/>
        <v>0</v>
      </c>
      <c r="AF208" s="142">
        <f t="shared" si="51"/>
        <v>0</v>
      </c>
      <c r="AI208" s="142">
        <f t="shared" si="52"/>
        <v>0</v>
      </c>
      <c r="AJ208" s="142">
        <f t="shared" si="53"/>
        <v>0</v>
      </c>
      <c r="AM208" s="142">
        <f t="shared" si="54"/>
        <v>0</v>
      </c>
      <c r="AN208" s="142">
        <f t="shared" si="55"/>
        <v>0</v>
      </c>
      <c r="AS208" s="169"/>
      <c r="AT208" s="169"/>
      <c r="AU208" s="169"/>
      <c r="AV208" s="169"/>
      <c r="AW208" s="169"/>
    </row>
    <row r="209" spans="1:49" ht="35.25" hidden="1">
      <c r="A209" s="270">
        <v>36</v>
      </c>
      <c r="B209" s="271"/>
      <c r="C209" s="309"/>
      <c r="D209" s="260"/>
      <c r="E209" s="258"/>
      <c r="F209" s="84">
        <f t="shared" si="35"/>
        <v>0</v>
      </c>
      <c r="G209" s="85">
        <f t="shared" si="56"/>
        <v>0</v>
      </c>
      <c r="H209" s="260"/>
      <c r="I209" s="258"/>
      <c r="J209" s="84">
        <f t="shared" si="36"/>
        <v>0</v>
      </c>
      <c r="K209" s="85">
        <f t="shared" si="37"/>
        <v>0</v>
      </c>
      <c r="L209" s="260"/>
      <c r="M209" s="258"/>
      <c r="N209" s="84">
        <f t="shared" si="38"/>
        <v>0</v>
      </c>
      <c r="O209" s="85">
        <f t="shared" si="39"/>
        <v>0</v>
      </c>
      <c r="P209" s="260"/>
      <c r="Q209" s="258"/>
      <c r="R209" s="84">
        <f t="shared" si="40"/>
        <v>0</v>
      </c>
      <c r="S209" s="85">
        <f t="shared" si="41"/>
        <v>0</v>
      </c>
      <c r="T209" s="201">
        <f t="shared" si="42"/>
        <v>0</v>
      </c>
      <c r="U209" s="205">
        <f t="shared" si="43"/>
        <v>0</v>
      </c>
      <c r="V209" s="223">
        <f t="shared" si="44"/>
        <v>-1</v>
      </c>
      <c r="W209" s="224">
        <f t="shared" si="45"/>
        <v>0</v>
      </c>
      <c r="X209" s="225">
        <f t="shared" si="46"/>
        <v>0</v>
      </c>
      <c r="Y209" s="203"/>
      <c r="Z209" s="61">
        <f t="shared" si="47"/>
        <v>-1</v>
      </c>
      <c r="AA209" s="142">
        <f t="shared" si="48"/>
        <v>0</v>
      </c>
      <c r="AB209" s="142">
        <f t="shared" si="49"/>
        <v>0</v>
      </c>
      <c r="AE209" s="142">
        <f t="shared" si="50"/>
        <v>0</v>
      </c>
      <c r="AF209" s="142">
        <f t="shared" si="51"/>
        <v>0</v>
      </c>
      <c r="AI209" s="142">
        <f t="shared" si="52"/>
        <v>0</v>
      </c>
      <c r="AJ209" s="142">
        <f t="shared" si="53"/>
        <v>0</v>
      </c>
      <c r="AM209" s="142">
        <f t="shared" si="54"/>
        <v>0</v>
      </c>
      <c r="AN209" s="142">
        <f t="shared" si="55"/>
        <v>0</v>
      </c>
      <c r="AS209" s="169"/>
      <c r="AT209" s="169"/>
      <c r="AU209" s="169"/>
      <c r="AV209" s="169"/>
      <c r="AW209" s="169"/>
    </row>
    <row r="210" spans="1:49" ht="35.25" hidden="1">
      <c r="A210" s="270">
        <v>37</v>
      </c>
      <c r="B210" s="271"/>
      <c r="C210" s="309"/>
      <c r="D210" s="260"/>
      <c r="E210" s="262"/>
      <c r="F210" s="84">
        <f t="shared" si="35"/>
        <v>0</v>
      </c>
      <c r="G210" s="85">
        <f t="shared" si="56"/>
        <v>0</v>
      </c>
      <c r="H210" s="260"/>
      <c r="I210" s="262"/>
      <c r="J210" s="84">
        <f t="shared" si="36"/>
        <v>0</v>
      </c>
      <c r="K210" s="85">
        <f t="shared" si="37"/>
        <v>0</v>
      </c>
      <c r="L210" s="260"/>
      <c r="M210" s="262"/>
      <c r="N210" s="84">
        <f t="shared" si="38"/>
        <v>0</v>
      </c>
      <c r="O210" s="85">
        <f t="shared" si="39"/>
        <v>0</v>
      </c>
      <c r="P210" s="260"/>
      <c r="Q210" s="262"/>
      <c r="R210" s="84">
        <f t="shared" si="40"/>
        <v>0</v>
      </c>
      <c r="S210" s="85">
        <f t="shared" si="41"/>
        <v>0</v>
      </c>
      <c r="T210" s="201">
        <f t="shared" si="42"/>
        <v>0</v>
      </c>
      <c r="U210" s="205">
        <f t="shared" si="43"/>
        <v>0</v>
      </c>
      <c r="V210" s="223">
        <f t="shared" si="44"/>
        <v>-1</v>
      </c>
      <c r="W210" s="231">
        <f t="shared" si="45"/>
        <v>0</v>
      </c>
      <c r="X210" s="225">
        <f t="shared" si="46"/>
        <v>0</v>
      </c>
      <c r="Y210" s="203"/>
      <c r="Z210" s="61">
        <f t="shared" si="47"/>
        <v>-1</v>
      </c>
      <c r="AA210" s="142">
        <f t="shared" si="48"/>
        <v>0</v>
      </c>
      <c r="AB210" s="142">
        <f t="shared" si="49"/>
        <v>0</v>
      </c>
      <c r="AE210" s="142">
        <f t="shared" si="50"/>
        <v>0</v>
      </c>
      <c r="AF210" s="142">
        <f t="shared" si="51"/>
        <v>0</v>
      </c>
      <c r="AI210" s="142">
        <f t="shared" si="52"/>
        <v>0</v>
      </c>
      <c r="AJ210" s="142">
        <f t="shared" si="53"/>
        <v>0</v>
      </c>
      <c r="AM210" s="142">
        <f t="shared" si="54"/>
        <v>0</v>
      </c>
      <c r="AN210" s="142">
        <f t="shared" si="55"/>
        <v>0</v>
      </c>
      <c r="AS210" s="169"/>
      <c r="AT210" s="169"/>
      <c r="AU210" s="169"/>
      <c r="AV210" s="169"/>
      <c r="AW210" s="169"/>
    </row>
    <row r="211" spans="1:49" ht="44.25" hidden="1">
      <c r="A211" s="270">
        <v>38</v>
      </c>
      <c r="B211" s="271"/>
      <c r="C211" s="311"/>
      <c r="D211" s="276"/>
      <c r="E211" s="275"/>
      <c r="F211" s="84">
        <f t="shared" si="35"/>
        <v>0</v>
      </c>
      <c r="G211" s="85">
        <f t="shared" si="56"/>
        <v>0</v>
      </c>
      <c r="H211" s="292"/>
      <c r="I211" s="290"/>
      <c r="J211" s="84">
        <f t="shared" si="36"/>
        <v>0</v>
      </c>
      <c r="K211" s="85">
        <f t="shared" si="37"/>
        <v>0</v>
      </c>
      <c r="L211" s="319"/>
      <c r="M211" s="320"/>
      <c r="N211" s="84">
        <f t="shared" si="38"/>
        <v>0</v>
      </c>
      <c r="O211" s="85">
        <f t="shared" si="39"/>
        <v>0</v>
      </c>
      <c r="P211" s="319"/>
      <c r="Q211" s="320"/>
      <c r="R211" s="84">
        <f t="shared" si="40"/>
        <v>0</v>
      </c>
      <c r="S211" s="85">
        <f t="shared" si="41"/>
        <v>0</v>
      </c>
      <c r="T211" s="201">
        <f t="shared" si="42"/>
        <v>0</v>
      </c>
      <c r="U211" s="205">
        <f t="shared" si="43"/>
        <v>0</v>
      </c>
      <c r="V211" s="223">
        <f t="shared" si="44"/>
        <v>-1</v>
      </c>
      <c r="W211" s="224">
        <f t="shared" si="45"/>
        <v>0</v>
      </c>
      <c r="X211" s="225">
        <f t="shared" si="46"/>
        <v>0</v>
      </c>
      <c r="Y211" s="203"/>
      <c r="Z211" s="61">
        <f t="shared" si="47"/>
        <v>-1</v>
      </c>
      <c r="AA211" s="142">
        <f t="shared" si="48"/>
        <v>0</v>
      </c>
      <c r="AB211" s="142">
        <f t="shared" si="49"/>
        <v>0</v>
      </c>
      <c r="AE211" s="142">
        <f t="shared" si="50"/>
        <v>0</v>
      </c>
      <c r="AF211" s="142">
        <f t="shared" si="51"/>
        <v>0</v>
      </c>
      <c r="AI211" s="142">
        <f t="shared" si="52"/>
        <v>0</v>
      </c>
      <c r="AJ211" s="142">
        <f t="shared" si="53"/>
        <v>0</v>
      </c>
      <c r="AM211" s="142">
        <f t="shared" si="54"/>
        <v>0</v>
      </c>
      <c r="AN211" s="142">
        <f t="shared" si="55"/>
        <v>0</v>
      </c>
      <c r="AS211" s="169"/>
      <c r="AT211" s="169"/>
      <c r="AU211" s="169"/>
      <c r="AV211" s="169"/>
      <c r="AW211" s="169"/>
    </row>
    <row r="212" spans="1:49" ht="44.25" hidden="1">
      <c r="A212" s="270">
        <v>39</v>
      </c>
      <c r="B212" s="271"/>
      <c r="C212" s="311"/>
      <c r="D212" s="276"/>
      <c r="E212" s="275"/>
      <c r="F212" s="84">
        <f t="shared" si="35"/>
        <v>0</v>
      </c>
      <c r="G212" s="85">
        <f t="shared" si="56"/>
        <v>0</v>
      </c>
      <c r="H212" s="292"/>
      <c r="I212" s="290"/>
      <c r="J212" s="84">
        <f t="shared" si="36"/>
        <v>0</v>
      </c>
      <c r="K212" s="85">
        <f t="shared" si="37"/>
        <v>0</v>
      </c>
      <c r="L212" s="319"/>
      <c r="M212" s="320"/>
      <c r="N212" s="84">
        <f t="shared" si="38"/>
        <v>0</v>
      </c>
      <c r="O212" s="85">
        <f t="shared" si="39"/>
        <v>0</v>
      </c>
      <c r="P212" s="319"/>
      <c r="Q212" s="320"/>
      <c r="R212" s="84">
        <f t="shared" si="40"/>
        <v>0</v>
      </c>
      <c r="S212" s="85">
        <f t="shared" si="41"/>
        <v>0</v>
      </c>
      <c r="T212" s="201">
        <f t="shared" si="42"/>
        <v>0</v>
      </c>
      <c r="U212" s="205">
        <f t="shared" si="43"/>
        <v>0</v>
      </c>
      <c r="V212" s="223">
        <f t="shared" si="44"/>
        <v>-1</v>
      </c>
      <c r="W212" s="224">
        <f t="shared" si="45"/>
        <v>0</v>
      </c>
      <c r="X212" s="225">
        <f t="shared" si="46"/>
        <v>0</v>
      </c>
      <c r="Y212" s="203"/>
      <c r="Z212" s="61">
        <f t="shared" si="47"/>
        <v>-1</v>
      </c>
      <c r="AA212" s="142">
        <f t="shared" si="48"/>
        <v>0</v>
      </c>
      <c r="AB212" s="142">
        <f t="shared" si="49"/>
        <v>0</v>
      </c>
      <c r="AE212" s="142">
        <f t="shared" si="50"/>
        <v>0</v>
      </c>
      <c r="AF212" s="142">
        <f t="shared" si="51"/>
        <v>0</v>
      </c>
      <c r="AI212" s="142">
        <f t="shared" si="52"/>
        <v>0</v>
      </c>
      <c r="AJ212" s="142">
        <f t="shared" si="53"/>
        <v>0</v>
      </c>
      <c r="AM212" s="142">
        <f t="shared" si="54"/>
        <v>0</v>
      </c>
      <c r="AN212" s="142">
        <f t="shared" si="55"/>
        <v>0</v>
      </c>
      <c r="AS212" s="169"/>
      <c r="AT212" s="169"/>
      <c r="AU212" s="169"/>
      <c r="AV212" s="169"/>
      <c r="AW212" s="169"/>
    </row>
    <row r="213" spans="1:49" ht="36" hidden="1" thickBot="1">
      <c r="A213" s="272">
        <v>40</v>
      </c>
      <c r="B213" s="273"/>
      <c r="C213" s="312"/>
      <c r="D213" s="260"/>
      <c r="E213" s="258"/>
      <c r="F213" s="193">
        <f t="shared" si="35"/>
        <v>0</v>
      </c>
      <c r="G213" s="194">
        <f t="shared" si="56"/>
        <v>0</v>
      </c>
      <c r="H213" s="260"/>
      <c r="I213" s="258"/>
      <c r="J213" s="193">
        <f t="shared" si="36"/>
        <v>0</v>
      </c>
      <c r="K213" s="194">
        <f t="shared" si="37"/>
        <v>0</v>
      </c>
      <c r="L213" s="260"/>
      <c r="M213" s="258"/>
      <c r="N213" s="193">
        <f t="shared" si="38"/>
        <v>0</v>
      </c>
      <c r="O213" s="194">
        <f t="shared" si="39"/>
        <v>0</v>
      </c>
      <c r="P213" s="260"/>
      <c r="Q213" s="258"/>
      <c r="R213" s="193">
        <f t="shared" si="40"/>
        <v>0</v>
      </c>
      <c r="S213" s="194">
        <f t="shared" si="41"/>
        <v>0</v>
      </c>
      <c r="T213" s="202">
        <f t="shared" si="42"/>
        <v>0</v>
      </c>
      <c r="U213" s="207">
        <f t="shared" si="43"/>
        <v>0</v>
      </c>
      <c r="V213" s="227">
        <f t="shared" si="44"/>
        <v>-1</v>
      </c>
      <c r="W213" s="228">
        <f t="shared" si="45"/>
        <v>0</v>
      </c>
      <c r="X213" s="230">
        <f t="shared" si="46"/>
        <v>0</v>
      </c>
      <c r="Y213" s="203"/>
      <c r="Z213" s="61">
        <f t="shared" si="47"/>
        <v>-1</v>
      </c>
      <c r="AA213" s="142">
        <f t="shared" si="48"/>
        <v>0</v>
      </c>
      <c r="AB213" s="142">
        <f t="shared" si="49"/>
        <v>0</v>
      </c>
      <c r="AE213" s="142">
        <f t="shared" si="50"/>
        <v>0</v>
      </c>
      <c r="AF213" s="142">
        <f t="shared" si="51"/>
        <v>0</v>
      </c>
      <c r="AI213" s="142">
        <f t="shared" si="52"/>
        <v>0</v>
      </c>
      <c r="AJ213" s="142">
        <f t="shared" si="53"/>
        <v>0</v>
      </c>
      <c r="AM213" s="142">
        <f t="shared" si="54"/>
        <v>0</v>
      </c>
      <c r="AN213" s="142">
        <f t="shared" si="55"/>
        <v>0</v>
      </c>
      <c r="AS213" s="169"/>
      <c r="AT213" s="169"/>
      <c r="AU213" s="169"/>
      <c r="AV213" s="169"/>
      <c r="AW213" s="169"/>
    </row>
    <row r="214" spans="1:49" ht="35.25" hidden="1">
      <c r="A214" s="268">
        <v>41</v>
      </c>
      <c r="B214" s="269"/>
      <c r="C214" s="308"/>
      <c r="D214" s="263"/>
      <c r="E214" s="261"/>
      <c r="F214" s="176">
        <f t="shared" si="35"/>
        <v>0</v>
      </c>
      <c r="G214" s="177">
        <f t="shared" si="56"/>
        <v>0</v>
      </c>
      <c r="H214" s="263"/>
      <c r="I214" s="261"/>
      <c r="J214" s="176">
        <f t="shared" si="36"/>
        <v>0</v>
      </c>
      <c r="K214" s="177">
        <f t="shared" si="37"/>
        <v>0</v>
      </c>
      <c r="L214" s="263"/>
      <c r="M214" s="261"/>
      <c r="N214" s="176">
        <f t="shared" si="38"/>
        <v>0</v>
      </c>
      <c r="O214" s="177">
        <f t="shared" si="39"/>
        <v>0</v>
      </c>
      <c r="P214" s="263"/>
      <c r="Q214" s="261"/>
      <c r="R214" s="176">
        <f t="shared" si="40"/>
        <v>0</v>
      </c>
      <c r="S214" s="177">
        <f t="shared" si="41"/>
        <v>0</v>
      </c>
      <c r="T214" s="200">
        <f t="shared" si="42"/>
        <v>0</v>
      </c>
      <c r="U214" s="206">
        <f t="shared" si="43"/>
        <v>0</v>
      </c>
      <c r="V214" s="221">
        <f t="shared" si="44"/>
        <v>-1</v>
      </c>
      <c r="W214" s="229">
        <f t="shared" si="45"/>
        <v>0</v>
      </c>
      <c r="X214" s="222">
        <f t="shared" si="46"/>
        <v>0</v>
      </c>
      <c r="Y214" s="203"/>
      <c r="Z214" s="61">
        <f t="shared" si="47"/>
        <v>-1</v>
      </c>
      <c r="AA214" s="142">
        <f t="shared" si="48"/>
        <v>0</v>
      </c>
      <c r="AB214" s="142">
        <f t="shared" si="49"/>
        <v>0</v>
      </c>
      <c r="AE214" s="142">
        <f t="shared" si="50"/>
        <v>0</v>
      </c>
      <c r="AF214" s="142">
        <f t="shared" si="51"/>
        <v>0</v>
      </c>
      <c r="AI214" s="142">
        <f t="shared" si="52"/>
        <v>0</v>
      </c>
      <c r="AJ214" s="142">
        <f t="shared" si="53"/>
        <v>0</v>
      </c>
      <c r="AM214" s="142">
        <f t="shared" si="54"/>
        <v>0</v>
      </c>
      <c r="AN214" s="142">
        <f t="shared" si="55"/>
        <v>0</v>
      </c>
      <c r="AS214" s="169"/>
      <c r="AT214" s="169"/>
      <c r="AU214" s="169"/>
      <c r="AV214" s="169"/>
      <c r="AW214" s="169"/>
    </row>
    <row r="215" spans="1:49" ht="35.25" hidden="1">
      <c r="A215" s="270">
        <v>42</v>
      </c>
      <c r="B215" s="271"/>
      <c r="C215" s="310"/>
      <c r="D215" s="260"/>
      <c r="E215" s="258"/>
      <c r="F215" s="84">
        <f t="shared" si="35"/>
        <v>0</v>
      </c>
      <c r="G215" s="85">
        <f t="shared" si="56"/>
        <v>0</v>
      </c>
      <c r="H215" s="260"/>
      <c r="I215" s="258"/>
      <c r="J215" s="84">
        <f t="shared" si="36"/>
        <v>0</v>
      </c>
      <c r="K215" s="85">
        <f t="shared" si="37"/>
        <v>0</v>
      </c>
      <c r="L215" s="260"/>
      <c r="M215" s="258"/>
      <c r="N215" s="84">
        <f t="shared" si="38"/>
        <v>0</v>
      </c>
      <c r="O215" s="85">
        <f t="shared" si="39"/>
        <v>0</v>
      </c>
      <c r="P215" s="260"/>
      <c r="Q215" s="258"/>
      <c r="R215" s="84">
        <f t="shared" si="40"/>
        <v>0</v>
      </c>
      <c r="S215" s="85">
        <f t="shared" si="41"/>
        <v>0</v>
      </c>
      <c r="T215" s="201">
        <f t="shared" si="42"/>
        <v>0</v>
      </c>
      <c r="U215" s="205">
        <f t="shared" si="43"/>
        <v>0</v>
      </c>
      <c r="V215" s="223">
        <f t="shared" si="44"/>
        <v>-1</v>
      </c>
      <c r="W215" s="224">
        <f t="shared" si="45"/>
        <v>0</v>
      </c>
      <c r="X215" s="225">
        <f t="shared" si="46"/>
        <v>0</v>
      </c>
      <c r="Y215" s="203"/>
      <c r="Z215" s="61">
        <f t="shared" si="47"/>
        <v>-1</v>
      </c>
      <c r="AA215" s="142">
        <f t="shared" si="48"/>
        <v>0</v>
      </c>
      <c r="AB215" s="142">
        <f t="shared" si="49"/>
        <v>0</v>
      </c>
      <c r="AE215" s="142">
        <f t="shared" si="50"/>
        <v>0</v>
      </c>
      <c r="AF215" s="142">
        <f t="shared" si="51"/>
        <v>0</v>
      </c>
      <c r="AI215" s="142">
        <f t="shared" si="52"/>
        <v>0</v>
      </c>
      <c r="AJ215" s="142">
        <f t="shared" si="53"/>
        <v>0</v>
      </c>
      <c r="AM215" s="142">
        <f t="shared" si="54"/>
        <v>0</v>
      </c>
      <c r="AN215" s="142">
        <f t="shared" si="55"/>
        <v>0</v>
      </c>
      <c r="AS215" s="169"/>
      <c r="AT215" s="169"/>
      <c r="AU215" s="169"/>
      <c r="AV215" s="169"/>
      <c r="AW215" s="169"/>
    </row>
    <row r="216" spans="1:49" ht="35.25" hidden="1">
      <c r="A216" s="270">
        <v>43</v>
      </c>
      <c r="B216" s="271"/>
      <c r="C216" s="315"/>
      <c r="D216" s="260"/>
      <c r="E216" s="258"/>
      <c r="F216" s="84">
        <f t="shared" si="35"/>
        <v>0</v>
      </c>
      <c r="G216" s="85">
        <f t="shared" si="56"/>
        <v>0</v>
      </c>
      <c r="H216" s="260"/>
      <c r="I216" s="258"/>
      <c r="J216" s="84">
        <f t="shared" si="36"/>
        <v>0</v>
      </c>
      <c r="K216" s="85">
        <f t="shared" si="37"/>
        <v>0</v>
      </c>
      <c r="L216" s="260"/>
      <c r="M216" s="258"/>
      <c r="N216" s="84">
        <f t="shared" si="38"/>
        <v>0</v>
      </c>
      <c r="O216" s="85">
        <f t="shared" si="39"/>
        <v>0</v>
      </c>
      <c r="P216" s="260"/>
      <c r="Q216" s="258"/>
      <c r="R216" s="84">
        <f t="shared" si="40"/>
        <v>0</v>
      </c>
      <c r="S216" s="85">
        <f t="shared" si="41"/>
        <v>0</v>
      </c>
      <c r="T216" s="201">
        <f t="shared" si="42"/>
        <v>0</v>
      </c>
      <c r="U216" s="205">
        <f t="shared" si="43"/>
        <v>0</v>
      </c>
      <c r="V216" s="223">
        <f t="shared" si="44"/>
        <v>-1</v>
      </c>
      <c r="W216" s="224">
        <f t="shared" si="45"/>
        <v>0</v>
      </c>
      <c r="X216" s="225">
        <f t="shared" si="46"/>
        <v>0</v>
      </c>
      <c r="Y216" s="203"/>
      <c r="Z216" s="61">
        <f t="shared" si="47"/>
        <v>-1</v>
      </c>
      <c r="AA216" s="142">
        <f t="shared" si="48"/>
        <v>0</v>
      </c>
      <c r="AB216" s="142">
        <f t="shared" si="49"/>
        <v>0</v>
      </c>
      <c r="AE216" s="142">
        <f t="shared" si="50"/>
        <v>0</v>
      </c>
      <c r="AF216" s="142">
        <f t="shared" si="51"/>
        <v>0</v>
      </c>
      <c r="AI216" s="142">
        <f t="shared" si="52"/>
        <v>0</v>
      </c>
      <c r="AJ216" s="142">
        <f t="shared" si="53"/>
        <v>0</v>
      </c>
      <c r="AM216" s="142">
        <f t="shared" si="54"/>
        <v>0</v>
      </c>
      <c r="AN216" s="142">
        <f t="shared" si="55"/>
        <v>0</v>
      </c>
      <c r="AS216" s="169"/>
      <c r="AT216" s="169"/>
      <c r="AU216" s="169"/>
      <c r="AV216" s="169"/>
      <c r="AW216" s="169"/>
    </row>
    <row r="217" spans="1:49" ht="35.25" hidden="1">
      <c r="A217" s="270">
        <v>44</v>
      </c>
      <c r="B217" s="271"/>
      <c r="C217" s="315"/>
      <c r="D217" s="260"/>
      <c r="E217" s="258"/>
      <c r="F217" s="84">
        <f t="shared" si="35"/>
        <v>0</v>
      </c>
      <c r="G217" s="85">
        <f t="shared" si="56"/>
        <v>0</v>
      </c>
      <c r="H217" s="260"/>
      <c r="I217" s="258"/>
      <c r="J217" s="84">
        <f t="shared" si="36"/>
        <v>0</v>
      </c>
      <c r="K217" s="85">
        <f t="shared" si="37"/>
        <v>0</v>
      </c>
      <c r="L217" s="260"/>
      <c r="M217" s="258"/>
      <c r="N217" s="84">
        <f t="shared" si="38"/>
        <v>0</v>
      </c>
      <c r="O217" s="85">
        <f t="shared" si="39"/>
        <v>0</v>
      </c>
      <c r="P217" s="260"/>
      <c r="Q217" s="258"/>
      <c r="R217" s="84">
        <f t="shared" si="40"/>
        <v>0</v>
      </c>
      <c r="S217" s="85">
        <f t="shared" si="41"/>
        <v>0</v>
      </c>
      <c r="T217" s="201">
        <f t="shared" si="42"/>
        <v>0</v>
      </c>
      <c r="U217" s="205">
        <f t="shared" si="43"/>
        <v>0</v>
      </c>
      <c r="V217" s="223">
        <f t="shared" si="44"/>
        <v>-1</v>
      </c>
      <c r="W217" s="224">
        <f t="shared" si="45"/>
        <v>0</v>
      </c>
      <c r="X217" s="225">
        <f t="shared" si="46"/>
        <v>0</v>
      </c>
      <c r="Y217" s="203"/>
      <c r="Z217" s="61">
        <f t="shared" si="47"/>
        <v>-1</v>
      </c>
      <c r="AA217" s="142">
        <f t="shared" si="48"/>
        <v>0</v>
      </c>
      <c r="AB217" s="142">
        <f t="shared" si="49"/>
        <v>0</v>
      </c>
      <c r="AE217" s="142">
        <f t="shared" si="50"/>
        <v>0</v>
      </c>
      <c r="AF217" s="142">
        <f t="shared" si="51"/>
        <v>0</v>
      </c>
      <c r="AI217" s="142">
        <f t="shared" si="52"/>
        <v>0</v>
      </c>
      <c r="AJ217" s="142">
        <f t="shared" si="53"/>
        <v>0</v>
      </c>
      <c r="AM217" s="142">
        <f t="shared" si="54"/>
        <v>0</v>
      </c>
      <c r="AN217" s="142">
        <f t="shared" si="55"/>
        <v>0</v>
      </c>
      <c r="AS217" s="169"/>
      <c r="AT217" s="169"/>
      <c r="AU217" s="169"/>
      <c r="AV217" s="169"/>
      <c r="AW217" s="169"/>
    </row>
    <row r="218" spans="1:49" ht="35.25" hidden="1">
      <c r="A218" s="270">
        <v>45</v>
      </c>
      <c r="B218" s="271"/>
      <c r="C218" s="309"/>
      <c r="D218" s="260"/>
      <c r="E218" s="258"/>
      <c r="F218" s="84">
        <f t="shared" si="35"/>
        <v>0</v>
      </c>
      <c r="G218" s="85">
        <f t="shared" si="56"/>
        <v>0</v>
      </c>
      <c r="H218" s="260"/>
      <c r="I218" s="258"/>
      <c r="J218" s="84">
        <f t="shared" si="36"/>
        <v>0</v>
      </c>
      <c r="K218" s="85">
        <f t="shared" si="37"/>
        <v>0</v>
      </c>
      <c r="L218" s="260"/>
      <c r="M218" s="258"/>
      <c r="N218" s="84">
        <f t="shared" si="38"/>
        <v>0</v>
      </c>
      <c r="O218" s="85">
        <f t="shared" si="39"/>
        <v>0</v>
      </c>
      <c r="P218" s="260"/>
      <c r="Q218" s="258"/>
      <c r="R218" s="84">
        <f t="shared" si="40"/>
        <v>0</v>
      </c>
      <c r="S218" s="85">
        <f t="shared" si="41"/>
        <v>0</v>
      </c>
      <c r="T218" s="201">
        <f t="shared" si="42"/>
        <v>0</v>
      </c>
      <c r="U218" s="205">
        <f t="shared" si="43"/>
        <v>0</v>
      </c>
      <c r="V218" s="223">
        <f t="shared" si="44"/>
        <v>-1</v>
      </c>
      <c r="W218" s="224">
        <f t="shared" si="45"/>
        <v>0</v>
      </c>
      <c r="X218" s="225">
        <f t="shared" si="46"/>
        <v>0</v>
      </c>
      <c r="Y218" s="203"/>
      <c r="Z218" s="61">
        <f t="shared" si="47"/>
        <v>-1</v>
      </c>
      <c r="AA218" s="142">
        <f t="shared" si="48"/>
        <v>0</v>
      </c>
      <c r="AB218" s="142">
        <f t="shared" si="49"/>
        <v>0</v>
      </c>
      <c r="AE218" s="142">
        <f t="shared" si="50"/>
        <v>0</v>
      </c>
      <c r="AF218" s="142">
        <f t="shared" si="51"/>
        <v>0</v>
      </c>
      <c r="AI218" s="142">
        <f t="shared" si="52"/>
        <v>0</v>
      </c>
      <c r="AJ218" s="142">
        <f t="shared" si="53"/>
        <v>0</v>
      </c>
      <c r="AM218" s="142">
        <f t="shared" si="54"/>
        <v>0</v>
      </c>
      <c r="AN218" s="142">
        <f t="shared" si="55"/>
        <v>0</v>
      </c>
      <c r="AS218" s="169"/>
      <c r="AT218" s="169"/>
      <c r="AU218" s="169"/>
      <c r="AV218" s="169"/>
      <c r="AW218" s="169"/>
    </row>
    <row r="219" spans="1:49" ht="35.25" hidden="1">
      <c r="A219" s="270">
        <v>46</v>
      </c>
      <c r="B219" s="271"/>
      <c r="C219" s="309"/>
      <c r="D219" s="260"/>
      <c r="E219" s="258"/>
      <c r="F219" s="84">
        <f t="shared" si="35"/>
        <v>0</v>
      </c>
      <c r="G219" s="85">
        <f t="shared" si="56"/>
        <v>0</v>
      </c>
      <c r="H219" s="260"/>
      <c r="I219" s="258"/>
      <c r="J219" s="84">
        <f t="shared" si="36"/>
        <v>0</v>
      </c>
      <c r="K219" s="85">
        <f t="shared" si="37"/>
        <v>0</v>
      </c>
      <c r="L219" s="260"/>
      <c r="M219" s="258"/>
      <c r="N219" s="84">
        <f t="shared" si="38"/>
        <v>0</v>
      </c>
      <c r="O219" s="85">
        <f t="shared" si="39"/>
        <v>0</v>
      </c>
      <c r="P219" s="260"/>
      <c r="Q219" s="258"/>
      <c r="R219" s="84">
        <f t="shared" si="40"/>
        <v>0</v>
      </c>
      <c r="S219" s="85">
        <f t="shared" si="41"/>
        <v>0</v>
      </c>
      <c r="T219" s="201">
        <f t="shared" si="42"/>
        <v>0</v>
      </c>
      <c r="U219" s="205">
        <f t="shared" si="43"/>
        <v>0</v>
      </c>
      <c r="V219" s="223">
        <f t="shared" si="44"/>
        <v>-1</v>
      </c>
      <c r="W219" s="224">
        <f t="shared" si="45"/>
        <v>0</v>
      </c>
      <c r="X219" s="225">
        <f t="shared" si="46"/>
        <v>0</v>
      </c>
      <c r="Y219" s="203"/>
      <c r="Z219" s="61">
        <f t="shared" si="47"/>
        <v>-1</v>
      </c>
      <c r="AA219" s="142">
        <f t="shared" si="48"/>
        <v>0</v>
      </c>
      <c r="AB219" s="142">
        <f t="shared" si="49"/>
        <v>0</v>
      </c>
      <c r="AE219" s="142">
        <f t="shared" si="50"/>
        <v>0</v>
      </c>
      <c r="AF219" s="142">
        <f t="shared" si="51"/>
        <v>0</v>
      </c>
      <c r="AI219" s="142">
        <f t="shared" si="52"/>
        <v>0</v>
      </c>
      <c r="AJ219" s="142">
        <f t="shared" si="53"/>
        <v>0</v>
      </c>
      <c r="AM219" s="142">
        <f t="shared" si="54"/>
        <v>0</v>
      </c>
      <c r="AN219" s="142">
        <f t="shared" si="55"/>
        <v>0</v>
      </c>
      <c r="AS219" s="169"/>
      <c r="AT219" s="169"/>
      <c r="AU219" s="169"/>
      <c r="AV219" s="169"/>
      <c r="AW219" s="169"/>
    </row>
    <row r="220" spans="1:49" ht="35.25" hidden="1">
      <c r="A220" s="270">
        <v>47</v>
      </c>
      <c r="B220" s="271"/>
      <c r="C220" s="309"/>
      <c r="D220" s="260"/>
      <c r="E220" s="258"/>
      <c r="F220" s="84">
        <f t="shared" si="35"/>
        <v>0</v>
      </c>
      <c r="G220" s="85">
        <f t="shared" si="56"/>
        <v>0</v>
      </c>
      <c r="H220" s="260"/>
      <c r="I220" s="258"/>
      <c r="J220" s="84">
        <f t="shared" si="36"/>
        <v>0</v>
      </c>
      <c r="K220" s="85">
        <f t="shared" si="37"/>
        <v>0</v>
      </c>
      <c r="L220" s="260"/>
      <c r="M220" s="258"/>
      <c r="N220" s="84">
        <f t="shared" si="38"/>
        <v>0</v>
      </c>
      <c r="O220" s="85">
        <f t="shared" si="39"/>
        <v>0</v>
      </c>
      <c r="P220" s="260"/>
      <c r="Q220" s="258"/>
      <c r="R220" s="84">
        <f t="shared" si="40"/>
        <v>0</v>
      </c>
      <c r="S220" s="85">
        <f t="shared" si="41"/>
        <v>0</v>
      </c>
      <c r="T220" s="201">
        <f t="shared" si="42"/>
        <v>0</v>
      </c>
      <c r="U220" s="205">
        <f t="shared" si="43"/>
        <v>0</v>
      </c>
      <c r="V220" s="223">
        <f t="shared" si="44"/>
        <v>-1</v>
      </c>
      <c r="W220" s="224">
        <f t="shared" si="45"/>
        <v>0</v>
      </c>
      <c r="X220" s="225">
        <f t="shared" si="46"/>
        <v>0</v>
      </c>
      <c r="Y220" s="203"/>
      <c r="Z220" s="61">
        <f t="shared" si="47"/>
        <v>-1</v>
      </c>
      <c r="AA220" s="142">
        <f t="shared" si="48"/>
        <v>0</v>
      </c>
      <c r="AB220" s="142">
        <f t="shared" si="49"/>
        <v>0</v>
      </c>
      <c r="AE220" s="142">
        <f t="shared" si="50"/>
        <v>0</v>
      </c>
      <c r="AF220" s="142">
        <f t="shared" si="51"/>
        <v>0</v>
      </c>
      <c r="AI220" s="142">
        <f t="shared" si="52"/>
        <v>0</v>
      </c>
      <c r="AJ220" s="142">
        <f t="shared" si="53"/>
        <v>0</v>
      </c>
      <c r="AM220" s="142">
        <f t="shared" si="54"/>
        <v>0</v>
      </c>
      <c r="AN220" s="142">
        <f t="shared" si="55"/>
        <v>0</v>
      </c>
      <c r="AS220" s="169"/>
      <c r="AT220" s="169"/>
      <c r="AU220" s="169"/>
      <c r="AV220" s="169"/>
      <c r="AW220" s="169"/>
    </row>
    <row r="221" spans="1:49" ht="36" hidden="1" thickBot="1">
      <c r="A221" s="272">
        <v>48</v>
      </c>
      <c r="B221" s="273"/>
      <c r="C221" s="312"/>
      <c r="D221" s="264"/>
      <c r="E221" s="259"/>
      <c r="F221" s="86">
        <f t="shared" si="35"/>
        <v>0</v>
      </c>
      <c r="G221" s="87">
        <f t="shared" si="56"/>
        <v>0</v>
      </c>
      <c r="H221" s="264"/>
      <c r="I221" s="259"/>
      <c r="J221" s="86">
        <f t="shared" si="36"/>
        <v>0</v>
      </c>
      <c r="K221" s="87">
        <f t="shared" si="37"/>
        <v>0</v>
      </c>
      <c r="L221" s="264"/>
      <c r="M221" s="259"/>
      <c r="N221" s="86">
        <f t="shared" si="38"/>
        <v>0</v>
      </c>
      <c r="O221" s="87">
        <f t="shared" si="39"/>
        <v>0</v>
      </c>
      <c r="P221" s="264"/>
      <c r="Q221" s="259"/>
      <c r="R221" s="86">
        <f t="shared" si="40"/>
        <v>0</v>
      </c>
      <c r="S221" s="87">
        <f t="shared" si="41"/>
        <v>0</v>
      </c>
      <c r="T221" s="202">
        <f t="shared" si="42"/>
        <v>0</v>
      </c>
      <c r="U221" s="207">
        <f t="shared" si="43"/>
        <v>0</v>
      </c>
      <c r="V221" s="227">
        <f t="shared" si="44"/>
        <v>-1</v>
      </c>
      <c r="W221" s="228">
        <f t="shared" si="45"/>
        <v>0</v>
      </c>
      <c r="X221" s="307">
        <f t="shared" si="46"/>
        <v>0</v>
      </c>
      <c r="Y221" s="203"/>
      <c r="Z221" s="61">
        <f t="shared" si="47"/>
        <v>-1</v>
      </c>
      <c r="AA221" s="142">
        <f t="shared" si="48"/>
        <v>0</v>
      </c>
      <c r="AB221" s="142">
        <f t="shared" si="49"/>
        <v>0</v>
      </c>
      <c r="AE221" s="142">
        <f t="shared" si="50"/>
        <v>0</v>
      </c>
      <c r="AF221" s="142">
        <f t="shared" si="51"/>
        <v>0</v>
      </c>
      <c r="AI221" s="142">
        <f t="shared" si="52"/>
        <v>0</v>
      </c>
      <c r="AJ221" s="142">
        <f t="shared" si="53"/>
        <v>0</v>
      </c>
      <c r="AM221" s="142">
        <f t="shared" si="54"/>
        <v>0</v>
      </c>
      <c r="AN221" s="142">
        <f t="shared" si="55"/>
        <v>0</v>
      </c>
      <c r="AS221" s="169"/>
      <c r="AT221" s="169"/>
      <c r="AU221" s="169"/>
      <c r="AV221" s="169"/>
      <c r="AW221" s="169"/>
    </row>
    <row r="222" spans="1:49" ht="35.25" hidden="1">
      <c r="A222" s="268">
        <v>49</v>
      </c>
      <c r="B222" s="269"/>
      <c r="C222" s="309"/>
      <c r="D222" s="260"/>
      <c r="E222" s="258"/>
      <c r="F222" s="90">
        <f t="shared" si="35"/>
        <v>0</v>
      </c>
      <c r="G222" s="91">
        <f t="shared" si="56"/>
        <v>0</v>
      </c>
      <c r="H222" s="260"/>
      <c r="I222" s="258"/>
      <c r="J222" s="90">
        <f t="shared" si="36"/>
        <v>0</v>
      </c>
      <c r="K222" s="91">
        <f t="shared" si="37"/>
        <v>0</v>
      </c>
      <c r="L222" s="260"/>
      <c r="M222" s="258"/>
      <c r="N222" s="90">
        <f t="shared" si="38"/>
        <v>0</v>
      </c>
      <c r="O222" s="91">
        <f t="shared" si="39"/>
        <v>0</v>
      </c>
      <c r="P222" s="260"/>
      <c r="Q222" s="258"/>
      <c r="R222" s="90">
        <f t="shared" si="40"/>
        <v>0</v>
      </c>
      <c r="S222" s="91">
        <f t="shared" si="41"/>
        <v>0</v>
      </c>
      <c r="T222" s="200">
        <f t="shared" si="42"/>
        <v>0</v>
      </c>
      <c r="U222" s="206">
        <f t="shared" si="43"/>
        <v>0</v>
      </c>
      <c r="V222" s="221">
        <f t="shared" si="44"/>
        <v>-1</v>
      </c>
      <c r="W222" s="229">
        <f t="shared" si="45"/>
        <v>0</v>
      </c>
      <c r="X222" s="222">
        <f t="shared" si="46"/>
        <v>0</v>
      </c>
      <c r="Y222" s="203"/>
      <c r="Z222" s="61">
        <f t="shared" si="47"/>
        <v>-1</v>
      </c>
      <c r="AA222" s="142">
        <f t="shared" si="48"/>
        <v>0</v>
      </c>
      <c r="AB222" s="142">
        <f t="shared" si="49"/>
        <v>0</v>
      </c>
      <c r="AE222" s="142">
        <f t="shared" si="50"/>
        <v>0</v>
      </c>
      <c r="AF222" s="142">
        <f t="shared" si="51"/>
        <v>0</v>
      </c>
      <c r="AI222" s="142">
        <f t="shared" si="52"/>
        <v>0</v>
      </c>
      <c r="AJ222" s="142">
        <f t="shared" si="53"/>
        <v>0</v>
      </c>
      <c r="AM222" s="142">
        <f t="shared" si="54"/>
        <v>0</v>
      </c>
      <c r="AN222" s="142">
        <f t="shared" si="55"/>
        <v>0</v>
      </c>
      <c r="AS222" s="169"/>
      <c r="AT222" s="169"/>
      <c r="AU222" s="169"/>
      <c r="AV222" s="169"/>
      <c r="AW222" s="169"/>
    </row>
    <row r="223" spans="1:49" ht="35.25" hidden="1">
      <c r="A223" s="270">
        <v>50</v>
      </c>
      <c r="B223" s="271"/>
      <c r="C223" s="309"/>
      <c r="D223" s="260"/>
      <c r="E223" s="258"/>
      <c r="F223" s="84">
        <f t="shared" si="35"/>
        <v>0</v>
      </c>
      <c r="G223" s="85">
        <f t="shared" si="56"/>
        <v>0</v>
      </c>
      <c r="H223" s="260"/>
      <c r="I223" s="258"/>
      <c r="J223" s="84">
        <f t="shared" si="36"/>
        <v>0</v>
      </c>
      <c r="K223" s="85">
        <f t="shared" si="37"/>
        <v>0</v>
      </c>
      <c r="L223" s="260"/>
      <c r="M223" s="258"/>
      <c r="N223" s="84">
        <f t="shared" si="38"/>
        <v>0</v>
      </c>
      <c r="O223" s="85">
        <f t="shared" si="39"/>
        <v>0</v>
      </c>
      <c r="P223" s="260"/>
      <c r="Q223" s="258"/>
      <c r="R223" s="84">
        <f t="shared" si="40"/>
        <v>0</v>
      </c>
      <c r="S223" s="85">
        <f t="shared" si="41"/>
        <v>0</v>
      </c>
      <c r="T223" s="201">
        <f t="shared" si="42"/>
        <v>0</v>
      </c>
      <c r="U223" s="205">
        <f t="shared" si="43"/>
        <v>0</v>
      </c>
      <c r="V223" s="223">
        <f t="shared" si="44"/>
        <v>-1</v>
      </c>
      <c r="W223" s="224">
        <f t="shared" si="45"/>
        <v>0</v>
      </c>
      <c r="X223" s="225">
        <f t="shared" si="46"/>
        <v>0</v>
      </c>
      <c r="Y223" s="203"/>
      <c r="Z223" s="61">
        <f t="shared" si="47"/>
        <v>-1</v>
      </c>
      <c r="AA223" s="142">
        <f t="shared" si="48"/>
        <v>0</v>
      </c>
      <c r="AB223" s="142">
        <f t="shared" si="49"/>
        <v>0</v>
      </c>
      <c r="AE223" s="142">
        <f t="shared" si="50"/>
        <v>0</v>
      </c>
      <c r="AF223" s="142">
        <f t="shared" si="51"/>
        <v>0</v>
      </c>
      <c r="AI223" s="142">
        <f t="shared" si="52"/>
        <v>0</v>
      </c>
      <c r="AJ223" s="142">
        <f t="shared" si="53"/>
        <v>0</v>
      </c>
      <c r="AM223" s="142">
        <f t="shared" si="54"/>
        <v>0</v>
      </c>
      <c r="AN223" s="142">
        <f t="shared" si="55"/>
        <v>0</v>
      </c>
      <c r="AS223" s="169"/>
      <c r="AT223" s="169"/>
      <c r="AU223" s="169"/>
      <c r="AV223" s="169"/>
      <c r="AW223" s="169"/>
    </row>
    <row r="224" spans="1:49" ht="35.25" hidden="1">
      <c r="A224" s="270">
        <v>51</v>
      </c>
      <c r="B224" s="271"/>
      <c r="C224" s="315"/>
      <c r="D224" s="260"/>
      <c r="E224" s="258"/>
      <c r="F224" s="84">
        <f t="shared" si="35"/>
        <v>0</v>
      </c>
      <c r="G224" s="85">
        <f t="shared" si="56"/>
        <v>0</v>
      </c>
      <c r="H224" s="260"/>
      <c r="I224" s="258"/>
      <c r="J224" s="84">
        <f t="shared" si="36"/>
        <v>0</v>
      </c>
      <c r="K224" s="85">
        <f t="shared" si="37"/>
        <v>0</v>
      </c>
      <c r="L224" s="260"/>
      <c r="M224" s="258"/>
      <c r="N224" s="84">
        <f t="shared" si="38"/>
        <v>0</v>
      </c>
      <c r="O224" s="85">
        <f t="shared" si="39"/>
        <v>0</v>
      </c>
      <c r="P224" s="260"/>
      <c r="Q224" s="258"/>
      <c r="R224" s="84">
        <f t="shared" si="40"/>
        <v>0</v>
      </c>
      <c r="S224" s="85">
        <f t="shared" si="41"/>
        <v>0</v>
      </c>
      <c r="T224" s="201">
        <f t="shared" si="42"/>
        <v>0</v>
      </c>
      <c r="U224" s="205">
        <f t="shared" si="43"/>
        <v>0</v>
      </c>
      <c r="V224" s="223">
        <f t="shared" si="44"/>
        <v>-1</v>
      </c>
      <c r="W224" s="224">
        <f t="shared" si="45"/>
        <v>0</v>
      </c>
      <c r="X224" s="226">
        <f t="shared" si="46"/>
        <v>0</v>
      </c>
      <c r="Y224" s="203"/>
      <c r="Z224" s="61">
        <f t="shared" si="47"/>
        <v>-1</v>
      </c>
      <c r="AA224" s="142">
        <f t="shared" si="48"/>
        <v>0</v>
      </c>
      <c r="AB224" s="142">
        <f t="shared" si="49"/>
        <v>0</v>
      </c>
      <c r="AE224" s="142">
        <f t="shared" si="50"/>
        <v>0</v>
      </c>
      <c r="AF224" s="142">
        <f t="shared" si="51"/>
        <v>0</v>
      </c>
      <c r="AI224" s="142">
        <f t="shared" si="52"/>
        <v>0</v>
      </c>
      <c r="AJ224" s="142">
        <f t="shared" si="53"/>
        <v>0</v>
      </c>
      <c r="AM224" s="142">
        <f t="shared" si="54"/>
        <v>0</v>
      </c>
      <c r="AN224" s="142">
        <f t="shared" si="55"/>
        <v>0</v>
      </c>
      <c r="AS224" s="169"/>
      <c r="AT224" s="169"/>
      <c r="AU224" s="169"/>
      <c r="AV224" s="169"/>
      <c r="AW224" s="169"/>
    </row>
    <row r="225" spans="1:49" ht="44.25" hidden="1">
      <c r="A225" s="270">
        <v>52</v>
      </c>
      <c r="B225" s="271"/>
      <c r="C225" s="311"/>
      <c r="D225" s="276"/>
      <c r="E225" s="277"/>
      <c r="F225" s="84">
        <f t="shared" si="35"/>
        <v>0</v>
      </c>
      <c r="G225" s="85">
        <f t="shared" si="56"/>
        <v>0</v>
      </c>
      <c r="H225" s="292"/>
      <c r="I225" s="318"/>
      <c r="J225" s="84">
        <f t="shared" si="36"/>
        <v>0</v>
      </c>
      <c r="K225" s="85">
        <f t="shared" si="37"/>
        <v>0</v>
      </c>
      <c r="L225" s="319"/>
      <c r="M225" s="323"/>
      <c r="N225" s="84">
        <f t="shared" si="38"/>
        <v>0</v>
      </c>
      <c r="O225" s="85">
        <f t="shared" si="39"/>
        <v>0</v>
      </c>
      <c r="P225" s="319"/>
      <c r="Q225" s="323"/>
      <c r="R225" s="84">
        <f t="shared" si="40"/>
        <v>0</v>
      </c>
      <c r="S225" s="85">
        <f t="shared" si="41"/>
        <v>0</v>
      </c>
      <c r="T225" s="201">
        <f t="shared" si="42"/>
        <v>0</v>
      </c>
      <c r="U225" s="205">
        <f t="shared" si="43"/>
        <v>0</v>
      </c>
      <c r="V225" s="223">
        <f t="shared" si="44"/>
        <v>-1</v>
      </c>
      <c r="W225" s="224">
        <f t="shared" si="45"/>
        <v>0</v>
      </c>
      <c r="X225" s="225">
        <f t="shared" si="46"/>
        <v>0</v>
      </c>
      <c r="Y225" s="203"/>
      <c r="Z225" s="61">
        <f t="shared" si="47"/>
        <v>-1</v>
      </c>
      <c r="AA225" s="142">
        <f t="shared" si="48"/>
        <v>0</v>
      </c>
      <c r="AB225" s="142">
        <f t="shared" si="49"/>
        <v>0</v>
      </c>
      <c r="AE225" s="142">
        <f t="shared" si="50"/>
        <v>0</v>
      </c>
      <c r="AF225" s="142">
        <f t="shared" si="51"/>
        <v>0</v>
      </c>
      <c r="AI225" s="142">
        <f t="shared" si="52"/>
        <v>0</v>
      </c>
      <c r="AJ225" s="142">
        <f t="shared" si="53"/>
        <v>0</v>
      </c>
      <c r="AM225" s="142">
        <f t="shared" si="54"/>
        <v>0</v>
      </c>
      <c r="AN225" s="142">
        <f t="shared" si="55"/>
        <v>0</v>
      </c>
      <c r="AS225" s="169"/>
      <c r="AT225" s="169"/>
      <c r="AU225" s="169"/>
      <c r="AV225" s="169"/>
      <c r="AW225" s="169"/>
    </row>
    <row r="226" spans="1:49" ht="35.25" hidden="1">
      <c r="A226" s="270">
        <v>53</v>
      </c>
      <c r="B226" s="271"/>
      <c r="C226" s="309"/>
      <c r="D226" s="260"/>
      <c r="E226" s="258"/>
      <c r="F226" s="84">
        <f t="shared" si="35"/>
        <v>0</v>
      </c>
      <c r="G226" s="85">
        <f t="shared" si="56"/>
        <v>0</v>
      </c>
      <c r="H226" s="260"/>
      <c r="I226" s="258"/>
      <c r="J226" s="84">
        <f t="shared" si="36"/>
        <v>0</v>
      </c>
      <c r="K226" s="85">
        <f t="shared" si="37"/>
        <v>0</v>
      </c>
      <c r="L226" s="260"/>
      <c r="M226" s="258"/>
      <c r="N226" s="84">
        <f t="shared" si="38"/>
        <v>0</v>
      </c>
      <c r="O226" s="85">
        <f t="shared" si="39"/>
        <v>0</v>
      </c>
      <c r="P226" s="260"/>
      <c r="Q226" s="258"/>
      <c r="R226" s="84">
        <f t="shared" si="40"/>
        <v>0</v>
      </c>
      <c r="S226" s="85">
        <f t="shared" si="41"/>
        <v>0</v>
      </c>
      <c r="T226" s="201">
        <f t="shared" si="42"/>
        <v>0</v>
      </c>
      <c r="U226" s="205">
        <f t="shared" si="43"/>
        <v>0</v>
      </c>
      <c r="V226" s="223">
        <f t="shared" si="44"/>
        <v>-1</v>
      </c>
      <c r="W226" s="224">
        <f t="shared" si="45"/>
        <v>0</v>
      </c>
      <c r="X226" s="225">
        <f t="shared" si="46"/>
        <v>0</v>
      </c>
      <c r="Y226" s="203"/>
      <c r="Z226" s="61">
        <f t="shared" si="47"/>
        <v>-1</v>
      </c>
      <c r="AA226" s="142">
        <f t="shared" si="48"/>
        <v>0</v>
      </c>
      <c r="AB226" s="142">
        <f t="shared" si="49"/>
        <v>0</v>
      </c>
      <c r="AE226" s="142">
        <f t="shared" si="50"/>
        <v>0</v>
      </c>
      <c r="AF226" s="142">
        <f t="shared" si="51"/>
        <v>0</v>
      </c>
      <c r="AI226" s="142">
        <f t="shared" si="52"/>
        <v>0</v>
      </c>
      <c r="AJ226" s="142">
        <f t="shared" si="53"/>
        <v>0</v>
      </c>
      <c r="AM226" s="142">
        <f t="shared" si="54"/>
        <v>0</v>
      </c>
      <c r="AN226" s="142">
        <f t="shared" si="55"/>
        <v>0</v>
      </c>
      <c r="AS226" s="169"/>
      <c r="AT226" s="169"/>
      <c r="AU226" s="169"/>
      <c r="AV226" s="169"/>
      <c r="AW226" s="169"/>
    </row>
    <row r="227" spans="1:49" ht="35.25" hidden="1">
      <c r="A227" s="270">
        <v>54</v>
      </c>
      <c r="B227" s="271"/>
      <c r="C227" s="309"/>
      <c r="D227" s="260"/>
      <c r="E227" s="258"/>
      <c r="F227" s="84">
        <f t="shared" si="35"/>
        <v>0</v>
      </c>
      <c r="G227" s="85">
        <f t="shared" si="56"/>
        <v>0</v>
      </c>
      <c r="H227" s="260"/>
      <c r="I227" s="258"/>
      <c r="J227" s="84">
        <f t="shared" si="36"/>
        <v>0</v>
      </c>
      <c r="K227" s="85">
        <f t="shared" si="37"/>
        <v>0</v>
      </c>
      <c r="L227" s="260"/>
      <c r="M227" s="258"/>
      <c r="N227" s="84">
        <f t="shared" si="38"/>
        <v>0</v>
      </c>
      <c r="O227" s="85">
        <f t="shared" si="39"/>
        <v>0</v>
      </c>
      <c r="P227" s="260"/>
      <c r="Q227" s="258"/>
      <c r="R227" s="84">
        <f t="shared" si="40"/>
        <v>0</v>
      </c>
      <c r="S227" s="85">
        <f t="shared" si="41"/>
        <v>0</v>
      </c>
      <c r="T227" s="201">
        <f t="shared" si="42"/>
        <v>0</v>
      </c>
      <c r="U227" s="205">
        <f t="shared" si="43"/>
        <v>0</v>
      </c>
      <c r="V227" s="223">
        <f t="shared" si="44"/>
        <v>-1</v>
      </c>
      <c r="W227" s="224">
        <f t="shared" si="45"/>
        <v>0</v>
      </c>
      <c r="X227" s="225">
        <f t="shared" si="46"/>
        <v>0</v>
      </c>
      <c r="Y227" s="203"/>
      <c r="Z227" s="61">
        <f t="shared" si="47"/>
        <v>-1</v>
      </c>
      <c r="AA227" s="142">
        <f t="shared" si="48"/>
        <v>0</v>
      </c>
      <c r="AB227" s="142">
        <f t="shared" si="49"/>
        <v>0</v>
      </c>
      <c r="AE227" s="142">
        <f t="shared" si="50"/>
        <v>0</v>
      </c>
      <c r="AF227" s="142">
        <f t="shared" si="51"/>
        <v>0</v>
      </c>
      <c r="AI227" s="142">
        <f t="shared" si="52"/>
        <v>0</v>
      </c>
      <c r="AJ227" s="142">
        <f t="shared" si="53"/>
        <v>0</v>
      </c>
      <c r="AM227" s="142">
        <f t="shared" si="54"/>
        <v>0</v>
      </c>
      <c r="AN227" s="142">
        <f t="shared" si="55"/>
        <v>0</v>
      </c>
      <c r="AS227" s="169"/>
      <c r="AT227" s="169"/>
      <c r="AU227" s="169"/>
      <c r="AV227" s="169"/>
      <c r="AW227" s="169"/>
    </row>
    <row r="228" spans="1:49" ht="35.25" hidden="1">
      <c r="A228" s="270">
        <v>55</v>
      </c>
      <c r="B228" s="271"/>
      <c r="C228" s="309"/>
      <c r="D228" s="260"/>
      <c r="E228" s="258"/>
      <c r="F228" s="84">
        <f t="shared" si="35"/>
        <v>0</v>
      </c>
      <c r="G228" s="85">
        <f t="shared" si="56"/>
        <v>0</v>
      </c>
      <c r="H228" s="260"/>
      <c r="I228" s="258"/>
      <c r="J228" s="84">
        <f t="shared" si="36"/>
        <v>0</v>
      </c>
      <c r="K228" s="85">
        <f t="shared" si="37"/>
        <v>0</v>
      </c>
      <c r="L228" s="260"/>
      <c r="M228" s="258"/>
      <c r="N228" s="84">
        <f t="shared" si="38"/>
        <v>0</v>
      </c>
      <c r="O228" s="85">
        <f t="shared" si="39"/>
        <v>0</v>
      </c>
      <c r="P228" s="260"/>
      <c r="Q228" s="258"/>
      <c r="R228" s="84">
        <f t="shared" si="40"/>
        <v>0</v>
      </c>
      <c r="S228" s="85">
        <f t="shared" si="41"/>
        <v>0</v>
      </c>
      <c r="T228" s="201">
        <f t="shared" si="42"/>
        <v>0</v>
      </c>
      <c r="U228" s="205">
        <f t="shared" si="43"/>
        <v>0</v>
      </c>
      <c r="V228" s="223">
        <f t="shared" si="44"/>
        <v>-1</v>
      </c>
      <c r="W228" s="224">
        <f t="shared" si="45"/>
        <v>0</v>
      </c>
      <c r="X228" s="226">
        <f t="shared" si="46"/>
        <v>0</v>
      </c>
      <c r="Y228" s="203"/>
      <c r="Z228" s="61">
        <f t="shared" si="47"/>
        <v>-1</v>
      </c>
      <c r="AA228" s="142">
        <f t="shared" si="48"/>
        <v>0</v>
      </c>
      <c r="AB228" s="142">
        <f t="shared" si="49"/>
        <v>0</v>
      </c>
      <c r="AE228" s="142">
        <f t="shared" si="50"/>
        <v>0</v>
      </c>
      <c r="AF228" s="142">
        <f t="shared" si="51"/>
        <v>0</v>
      </c>
      <c r="AI228" s="142">
        <f t="shared" si="52"/>
        <v>0</v>
      </c>
      <c r="AJ228" s="142">
        <f t="shared" si="53"/>
        <v>0</v>
      </c>
      <c r="AM228" s="142">
        <f t="shared" si="54"/>
        <v>0</v>
      </c>
      <c r="AN228" s="142">
        <f t="shared" si="55"/>
        <v>0</v>
      </c>
      <c r="AS228" s="169"/>
      <c r="AT228" s="169"/>
      <c r="AU228" s="169"/>
      <c r="AV228" s="169"/>
      <c r="AW228" s="169"/>
    </row>
    <row r="229" spans="1:49" ht="36" hidden="1" thickBot="1">
      <c r="A229" s="272">
        <v>56</v>
      </c>
      <c r="B229" s="273"/>
      <c r="C229" s="309"/>
      <c r="D229" s="260"/>
      <c r="E229" s="258"/>
      <c r="F229" s="193">
        <f t="shared" si="35"/>
        <v>0</v>
      </c>
      <c r="G229" s="194">
        <f t="shared" si="56"/>
        <v>0</v>
      </c>
      <c r="H229" s="260"/>
      <c r="I229" s="258"/>
      <c r="J229" s="193">
        <f t="shared" si="36"/>
        <v>0</v>
      </c>
      <c r="K229" s="194">
        <f t="shared" si="37"/>
        <v>0</v>
      </c>
      <c r="L229" s="260"/>
      <c r="M229" s="258"/>
      <c r="N229" s="193">
        <f t="shared" si="38"/>
        <v>0</v>
      </c>
      <c r="O229" s="194">
        <f t="shared" si="39"/>
        <v>0</v>
      </c>
      <c r="P229" s="260"/>
      <c r="Q229" s="258"/>
      <c r="R229" s="193">
        <f t="shared" si="40"/>
        <v>0</v>
      </c>
      <c r="S229" s="194">
        <f t="shared" si="41"/>
        <v>0</v>
      </c>
      <c r="T229" s="202">
        <f t="shared" si="42"/>
        <v>0</v>
      </c>
      <c r="U229" s="207">
        <f t="shared" si="43"/>
        <v>0</v>
      </c>
      <c r="V229" s="227">
        <f t="shared" si="44"/>
        <v>-1</v>
      </c>
      <c r="W229" s="228">
        <f t="shared" si="45"/>
        <v>0</v>
      </c>
      <c r="X229" s="230">
        <f t="shared" si="46"/>
        <v>0</v>
      </c>
      <c r="Y229" s="203"/>
      <c r="Z229" s="61">
        <f t="shared" si="47"/>
        <v>-1</v>
      </c>
      <c r="AA229" s="142">
        <f t="shared" si="48"/>
        <v>0</v>
      </c>
      <c r="AB229" s="142">
        <f t="shared" si="49"/>
        <v>0</v>
      </c>
      <c r="AE229" s="142">
        <f t="shared" si="50"/>
        <v>0</v>
      </c>
      <c r="AF229" s="142">
        <f t="shared" si="51"/>
        <v>0</v>
      </c>
      <c r="AI229" s="142">
        <f t="shared" si="52"/>
        <v>0</v>
      </c>
      <c r="AJ229" s="142">
        <f t="shared" si="53"/>
        <v>0</v>
      </c>
      <c r="AM229" s="142">
        <f t="shared" si="54"/>
        <v>0</v>
      </c>
      <c r="AN229" s="142">
        <f t="shared" si="55"/>
        <v>0</v>
      </c>
      <c r="AS229" s="169"/>
      <c r="AT229" s="169"/>
      <c r="AU229" s="169"/>
      <c r="AV229" s="169"/>
      <c r="AW229" s="169"/>
    </row>
    <row r="230" spans="1:49" ht="35.25" hidden="1">
      <c r="A230" s="268">
        <v>57</v>
      </c>
      <c r="B230" s="269"/>
      <c r="C230" s="308"/>
      <c r="D230" s="263"/>
      <c r="E230" s="261"/>
      <c r="F230" s="176">
        <f t="shared" si="35"/>
        <v>0</v>
      </c>
      <c r="G230" s="177">
        <f t="shared" si="56"/>
        <v>0</v>
      </c>
      <c r="H230" s="263"/>
      <c r="I230" s="261"/>
      <c r="J230" s="176">
        <f t="shared" si="36"/>
        <v>0</v>
      </c>
      <c r="K230" s="177">
        <f t="shared" si="37"/>
        <v>0</v>
      </c>
      <c r="L230" s="263"/>
      <c r="M230" s="261"/>
      <c r="N230" s="176">
        <f t="shared" si="38"/>
        <v>0</v>
      </c>
      <c r="O230" s="177">
        <f t="shared" si="39"/>
        <v>0</v>
      </c>
      <c r="P230" s="263"/>
      <c r="Q230" s="261"/>
      <c r="R230" s="176">
        <f t="shared" si="40"/>
        <v>0</v>
      </c>
      <c r="S230" s="177">
        <f t="shared" si="41"/>
        <v>0</v>
      </c>
      <c r="T230" s="200">
        <f t="shared" si="42"/>
        <v>0</v>
      </c>
      <c r="U230" s="206">
        <f t="shared" si="43"/>
        <v>0</v>
      </c>
      <c r="V230" s="221">
        <f t="shared" si="44"/>
        <v>-1</v>
      </c>
      <c r="W230" s="229">
        <f t="shared" si="45"/>
        <v>0</v>
      </c>
      <c r="X230" s="222">
        <f t="shared" si="46"/>
        <v>0</v>
      </c>
      <c r="Y230" s="203"/>
      <c r="Z230" s="61">
        <f t="shared" si="47"/>
        <v>-1</v>
      </c>
      <c r="AA230" s="142">
        <f t="shared" si="48"/>
        <v>0</v>
      </c>
      <c r="AB230" s="142">
        <f t="shared" si="49"/>
        <v>0</v>
      </c>
      <c r="AE230" s="142">
        <f t="shared" si="50"/>
        <v>0</v>
      </c>
      <c r="AF230" s="142">
        <f t="shared" si="51"/>
        <v>0</v>
      </c>
      <c r="AI230" s="142">
        <f t="shared" si="52"/>
        <v>0</v>
      </c>
      <c r="AJ230" s="142">
        <f t="shared" si="53"/>
        <v>0</v>
      </c>
      <c r="AM230" s="142">
        <f t="shared" si="54"/>
        <v>0</v>
      </c>
      <c r="AN230" s="142">
        <f t="shared" si="55"/>
        <v>0</v>
      </c>
      <c r="AS230" s="169"/>
      <c r="AT230" s="169"/>
      <c r="AU230" s="169"/>
      <c r="AV230" s="169"/>
      <c r="AW230" s="169"/>
    </row>
    <row r="231" spans="1:49" ht="35.25" hidden="1">
      <c r="A231" s="270">
        <v>58</v>
      </c>
      <c r="B231" s="271"/>
      <c r="C231" s="309"/>
      <c r="D231" s="260"/>
      <c r="E231" s="258"/>
      <c r="F231" s="84">
        <f t="shared" si="35"/>
        <v>0</v>
      </c>
      <c r="G231" s="85">
        <f t="shared" si="56"/>
        <v>0</v>
      </c>
      <c r="H231" s="260"/>
      <c r="I231" s="258"/>
      <c r="J231" s="84">
        <f t="shared" si="36"/>
        <v>0</v>
      </c>
      <c r="K231" s="85">
        <f t="shared" si="37"/>
        <v>0</v>
      </c>
      <c r="L231" s="260"/>
      <c r="M231" s="258"/>
      <c r="N231" s="84">
        <f t="shared" si="38"/>
        <v>0</v>
      </c>
      <c r="O231" s="85">
        <f t="shared" si="39"/>
        <v>0</v>
      </c>
      <c r="P231" s="260"/>
      <c r="Q231" s="258"/>
      <c r="R231" s="84">
        <f t="shared" si="40"/>
        <v>0</v>
      </c>
      <c r="S231" s="85">
        <f t="shared" si="41"/>
        <v>0</v>
      </c>
      <c r="T231" s="201">
        <f t="shared" si="42"/>
        <v>0</v>
      </c>
      <c r="U231" s="205">
        <f t="shared" si="43"/>
        <v>0</v>
      </c>
      <c r="V231" s="223">
        <f t="shared" si="44"/>
        <v>-1</v>
      </c>
      <c r="W231" s="224">
        <f t="shared" si="45"/>
        <v>0</v>
      </c>
      <c r="X231" s="225">
        <f t="shared" si="46"/>
        <v>0</v>
      </c>
      <c r="Y231" s="203"/>
      <c r="Z231" s="61">
        <f t="shared" si="47"/>
        <v>-1</v>
      </c>
      <c r="AA231" s="142">
        <f t="shared" si="48"/>
        <v>0</v>
      </c>
      <c r="AB231" s="142">
        <f t="shared" si="49"/>
        <v>0</v>
      </c>
      <c r="AE231" s="142">
        <f t="shared" si="50"/>
        <v>0</v>
      </c>
      <c r="AF231" s="142">
        <f t="shared" si="51"/>
        <v>0</v>
      </c>
      <c r="AI231" s="142">
        <f t="shared" si="52"/>
        <v>0</v>
      </c>
      <c r="AJ231" s="142">
        <f t="shared" si="53"/>
        <v>0</v>
      </c>
      <c r="AM231" s="142">
        <f t="shared" si="54"/>
        <v>0</v>
      </c>
      <c r="AN231" s="142">
        <f t="shared" si="55"/>
        <v>0</v>
      </c>
      <c r="AS231" s="169"/>
      <c r="AT231" s="169"/>
      <c r="AU231" s="169"/>
      <c r="AV231" s="169"/>
      <c r="AW231" s="169"/>
    </row>
    <row r="232" spans="1:49" ht="35.25" hidden="1">
      <c r="A232" s="270">
        <v>59</v>
      </c>
      <c r="B232" s="271"/>
      <c r="C232" s="309"/>
      <c r="D232" s="260"/>
      <c r="E232" s="258"/>
      <c r="F232" s="84">
        <f t="shared" si="35"/>
        <v>0</v>
      </c>
      <c r="G232" s="85">
        <f t="shared" si="56"/>
        <v>0</v>
      </c>
      <c r="H232" s="260"/>
      <c r="I232" s="258"/>
      <c r="J232" s="84">
        <f t="shared" si="36"/>
        <v>0</v>
      </c>
      <c r="K232" s="85">
        <f t="shared" si="37"/>
        <v>0</v>
      </c>
      <c r="L232" s="260"/>
      <c r="M232" s="258"/>
      <c r="N232" s="84">
        <f t="shared" si="38"/>
        <v>0</v>
      </c>
      <c r="O232" s="85">
        <f t="shared" si="39"/>
        <v>0</v>
      </c>
      <c r="P232" s="260"/>
      <c r="Q232" s="258"/>
      <c r="R232" s="84">
        <f t="shared" si="40"/>
        <v>0</v>
      </c>
      <c r="S232" s="85">
        <f t="shared" si="41"/>
        <v>0</v>
      </c>
      <c r="T232" s="201">
        <f t="shared" si="42"/>
        <v>0</v>
      </c>
      <c r="U232" s="205">
        <f t="shared" si="43"/>
        <v>0</v>
      </c>
      <c r="V232" s="223">
        <f t="shared" si="44"/>
        <v>-1</v>
      </c>
      <c r="W232" s="224">
        <f t="shared" si="45"/>
        <v>0</v>
      </c>
      <c r="X232" s="225">
        <f t="shared" si="46"/>
        <v>0</v>
      </c>
      <c r="Y232" s="203"/>
      <c r="Z232" s="61">
        <f t="shared" si="47"/>
        <v>-1</v>
      </c>
      <c r="AA232" s="142">
        <f t="shared" si="48"/>
        <v>0</v>
      </c>
      <c r="AB232" s="142">
        <f t="shared" si="49"/>
        <v>0</v>
      </c>
      <c r="AE232" s="142">
        <f t="shared" si="50"/>
        <v>0</v>
      </c>
      <c r="AF232" s="142">
        <f t="shared" si="51"/>
        <v>0</v>
      </c>
      <c r="AI232" s="142">
        <f t="shared" si="52"/>
        <v>0</v>
      </c>
      <c r="AJ232" s="142">
        <f t="shared" si="53"/>
        <v>0</v>
      </c>
      <c r="AM232" s="142">
        <f t="shared" si="54"/>
        <v>0</v>
      </c>
      <c r="AN232" s="142">
        <f t="shared" si="55"/>
        <v>0</v>
      </c>
      <c r="AS232" s="169"/>
      <c r="AT232" s="169"/>
      <c r="AU232" s="169"/>
      <c r="AV232" s="169"/>
      <c r="AW232" s="169"/>
    </row>
    <row r="233" spans="1:49" ht="35.25" hidden="1">
      <c r="A233" s="270">
        <v>60</v>
      </c>
      <c r="B233" s="271"/>
      <c r="C233" s="309"/>
      <c r="D233" s="260"/>
      <c r="E233" s="258"/>
      <c r="F233" s="84">
        <f t="shared" si="35"/>
        <v>0</v>
      </c>
      <c r="G233" s="85">
        <f t="shared" si="56"/>
        <v>0</v>
      </c>
      <c r="H233" s="260"/>
      <c r="I233" s="258"/>
      <c r="J233" s="84">
        <f t="shared" si="36"/>
        <v>0</v>
      </c>
      <c r="K233" s="85">
        <f t="shared" si="37"/>
        <v>0</v>
      </c>
      <c r="L233" s="260"/>
      <c r="M233" s="258"/>
      <c r="N233" s="84">
        <f t="shared" si="38"/>
        <v>0</v>
      </c>
      <c r="O233" s="85">
        <f t="shared" si="39"/>
        <v>0</v>
      </c>
      <c r="P233" s="260"/>
      <c r="Q233" s="258"/>
      <c r="R233" s="84">
        <f t="shared" si="40"/>
        <v>0</v>
      </c>
      <c r="S233" s="85">
        <f t="shared" si="41"/>
        <v>0</v>
      </c>
      <c r="T233" s="201">
        <f t="shared" si="42"/>
        <v>0</v>
      </c>
      <c r="U233" s="205">
        <f t="shared" si="43"/>
        <v>0</v>
      </c>
      <c r="V233" s="223">
        <f t="shared" si="44"/>
        <v>-1</v>
      </c>
      <c r="W233" s="224">
        <f t="shared" si="45"/>
        <v>0</v>
      </c>
      <c r="X233" s="225">
        <f t="shared" si="46"/>
        <v>0</v>
      </c>
      <c r="Y233" s="203"/>
      <c r="Z233" s="61">
        <f t="shared" si="47"/>
        <v>-1</v>
      </c>
      <c r="AA233" s="142">
        <f t="shared" si="48"/>
        <v>0</v>
      </c>
      <c r="AB233" s="142">
        <f t="shared" si="49"/>
        <v>0</v>
      </c>
      <c r="AE233" s="142">
        <f t="shared" si="50"/>
        <v>0</v>
      </c>
      <c r="AF233" s="142">
        <f t="shared" si="51"/>
        <v>0</v>
      </c>
      <c r="AI233" s="142">
        <f t="shared" si="52"/>
        <v>0</v>
      </c>
      <c r="AJ233" s="142">
        <f t="shared" si="53"/>
        <v>0</v>
      </c>
      <c r="AM233" s="142">
        <f t="shared" si="54"/>
        <v>0</v>
      </c>
      <c r="AN233" s="142">
        <f t="shared" si="55"/>
        <v>0</v>
      </c>
      <c r="AS233" s="169"/>
      <c r="AT233" s="169"/>
      <c r="AU233" s="169"/>
      <c r="AV233" s="169"/>
      <c r="AW233" s="169"/>
    </row>
    <row r="234" spans="1:49" ht="35.25" hidden="1">
      <c r="A234" s="270">
        <v>61</v>
      </c>
      <c r="B234" s="271"/>
      <c r="C234" s="309"/>
      <c r="D234" s="260"/>
      <c r="E234" s="258"/>
      <c r="F234" s="84">
        <f t="shared" si="35"/>
        <v>0</v>
      </c>
      <c r="G234" s="85">
        <f t="shared" si="56"/>
        <v>0</v>
      </c>
      <c r="H234" s="260"/>
      <c r="I234" s="258"/>
      <c r="J234" s="84">
        <f t="shared" si="36"/>
        <v>0</v>
      </c>
      <c r="K234" s="85">
        <f t="shared" si="37"/>
        <v>0</v>
      </c>
      <c r="L234" s="260"/>
      <c r="M234" s="258"/>
      <c r="N234" s="84">
        <f t="shared" si="38"/>
        <v>0</v>
      </c>
      <c r="O234" s="85">
        <f t="shared" si="39"/>
        <v>0</v>
      </c>
      <c r="P234" s="260"/>
      <c r="Q234" s="258"/>
      <c r="R234" s="84">
        <f t="shared" si="40"/>
        <v>0</v>
      </c>
      <c r="S234" s="85">
        <f t="shared" si="41"/>
        <v>0</v>
      </c>
      <c r="T234" s="201">
        <f t="shared" si="42"/>
        <v>0</v>
      </c>
      <c r="U234" s="205">
        <f t="shared" si="43"/>
        <v>0</v>
      </c>
      <c r="V234" s="223">
        <f t="shared" si="44"/>
        <v>-1</v>
      </c>
      <c r="W234" s="224">
        <f t="shared" si="45"/>
        <v>0</v>
      </c>
      <c r="X234" s="225">
        <f t="shared" si="46"/>
        <v>0</v>
      </c>
      <c r="Y234" s="203"/>
      <c r="Z234" s="61">
        <f t="shared" si="47"/>
        <v>-1</v>
      </c>
      <c r="AA234" s="142">
        <f t="shared" si="48"/>
        <v>0</v>
      </c>
      <c r="AB234" s="142">
        <f t="shared" si="49"/>
        <v>0</v>
      </c>
      <c r="AE234" s="142">
        <f t="shared" si="50"/>
        <v>0</v>
      </c>
      <c r="AF234" s="142">
        <f t="shared" si="51"/>
        <v>0</v>
      </c>
      <c r="AI234" s="142">
        <f t="shared" si="52"/>
        <v>0</v>
      </c>
      <c r="AJ234" s="142">
        <f t="shared" si="53"/>
        <v>0</v>
      </c>
      <c r="AM234" s="142">
        <f t="shared" si="54"/>
        <v>0</v>
      </c>
      <c r="AN234" s="142">
        <f t="shared" si="55"/>
        <v>0</v>
      </c>
      <c r="AS234" s="169"/>
      <c r="AT234" s="169"/>
      <c r="AU234" s="169"/>
      <c r="AV234" s="169"/>
      <c r="AW234" s="169"/>
    </row>
    <row r="235" spans="1:49" ht="35.25" hidden="1">
      <c r="A235" s="270">
        <v>62</v>
      </c>
      <c r="B235" s="271"/>
      <c r="C235" s="315"/>
      <c r="D235" s="260"/>
      <c r="E235" s="258"/>
      <c r="F235" s="84">
        <f t="shared" si="35"/>
        <v>0</v>
      </c>
      <c r="G235" s="85">
        <f t="shared" si="56"/>
        <v>0</v>
      </c>
      <c r="H235" s="257"/>
      <c r="I235" s="258"/>
      <c r="J235" s="84">
        <f t="shared" si="36"/>
        <v>0</v>
      </c>
      <c r="K235" s="85">
        <f t="shared" si="37"/>
        <v>0</v>
      </c>
      <c r="L235" s="257"/>
      <c r="M235" s="258"/>
      <c r="N235" s="84">
        <f t="shared" si="38"/>
        <v>0</v>
      </c>
      <c r="O235" s="85">
        <f t="shared" si="39"/>
        <v>0</v>
      </c>
      <c r="P235" s="257"/>
      <c r="Q235" s="258"/>
      <c r="R235" s="84">
        <f t="shared" si="40"/>
        <v>0</v>
      </c>
      <c r="S235" s="85">
        <f t="shared" si="41"/>
        <v>0</v>
      </c>
      <c r="T235" s="201">
        <f t="shared" si="42"/>
        <v>0</v>
      </c>
      <c r="U235" s="205">
        <f t="shared" si="43"/>
        <v>0</v>
      </c>
      <c r="V235" s="223">
        <f t="shared" si="44"/>
        <v>-1</v>
      </c>
      <c r="W235" s="224">
        <f t="shared" si="45"/>
        <v>0</v>
      </c>
      <c r="X235" s="225">
        <f t="shared" si="46"/>
        <v>0</v>
      </c>
      <c r="Y235" s="203"/>
      <c r="Z235" s="61">
        <f t="shared" si="47"/>
        <v>-1</v>
      </c>
      <c r="AA235" s="142">
        <f t="shared" si="48"/>
        <v>0</v>
      </c>
      <c r="AB235" s="142">
        <f t="shared" si="49"/>
        <v>0</v>
      </c>
      <c r="AE235" s="142">
        <f t="shared" si="50"/>
        <v>0</v>
      </c>
      <c r="AF235" s="142">
        <f t="shared" si="51"/>
        <v>0</v>
      </c>
      <c r="AI235" s="142">
        <f t="shared" si="52"/>
        <v>0</v>
      </c>
      <c r="AJ235" s="142">
        <f t="shared" si="53"/>
        <v>0</v>
      </c>
      <c r="AM235" s="142">
        <f t="shared" si="54"/>
        <v>0</v>
      </c>
      <c r="AN235" s="142">
        <f t="shared" si="55"/>
        <v>0</v>
      </c>
      <c r="AS235" s="169"/>
      <c r="AT235" s="169"/>
      <c r="AU235" s="169"/>
      <c r="AV235" s="169"/>
      <c r="AW235" s="169"/>
    </row>
    <row r="236" spans="1:49" ht="35.25" hidden="1">
      <c r="A236" s="270">
        <v>63</v>
      </c>
      <c r="B236" s="271"/>
      <c r="C236" s="309"/>
      <c r="D236" s="260"/>
      <c r="E236" s="258"/>
      <c r="F236" s="84">
        <f t="shared" si="35"/>
        <v>0</v>
      </c>
      <c r="G236" s="85">
        <f t="shared" si="56"/>
        <v>0</v>
      </c>
      <c r="H236" s="257"/>
      <c r="I236" s="258"/>
      <c r="J236" s="84">
        <f t="shared" si="36"/>
        <v>0</v>
      </c>
      <c r="K236" s="85">
        <f t="shared" si="37"/>
        <v>0</v>
      </c>
      <c r="L236" s="257"/>
      <c r="M236" s="258"/>
      <c r="N236" s="84">
        <f t="shared" si="38"/>
        <v>0</v>
      </c>
      <c r="O236" s="85">
        <f t="shared" si="39"/>
        <v>0</v>
      </c>
      <c r="P236" s="257"/>
      <c r="Q236" s="258"/>
      <c r="R236" s="84">
        <f t="shared" si="40"/>
        <v>0</v>
      </c>
      <c r="S236" s="85">
        <f t="shared" si="41"/>
        <v>0</v>
      </c>
      <c r="T236" s="201">
        <f t="shared" si="42"/>
        <v>0</v>
      </c>
      <c r="U236" s="205">
        <f t="shared" si="43"/>
        <v>0</v>
      </c>
      <c r="V236" s="223">
        <f t="shared" si="44"/>
        <v>-1</v>
      </c>
      <c r="W236" s="224">
        <f t="shared" si="45"/>
        <v>0</v>
      </c>
      <c r="X236" s="225">
        <f t="shared" si="46"/>
        <v>0</v>
      </c>
      <c r="Y236" s="203"/>
      <c r="Z236" s="61">
        <f t="shared" si="47"/>
        <v>-1</v>
      </c>
      <c r="AA236" s="142">
        <f t="shared" si="48"/>
        <v>0</v>
      </c>
      <c r="AB236" s="142">
        <f t="shared" si="49"/>
        <v>0</v>
      </c>
      <c r="AE236" s="142">
        <f t="shared" si="50"/>
        <v>0</v>
      </c>
      <c r="AF236" s="142">
        <f t="shared" si="51"/>
        <v>0</v>
      </c>
      <c r="AI236" s="142">
        <f t="shared" si="52"/>
        <v>0</v>
      </c>
      <c r="AJ236" s="142">
        <f t="shared" si="53"/>
        <v>0</v>
      </c>
      <c r="AM236" s="142">
        <f t="shared" si="54"/>
        <v>0</v>
      </c>
      <c r="AN236" s="142">
        <f t="shared" si="55"/>
        <v>0</v>
      </c>
      <c r="AS236" s="169"/>
      <c r="AT236" s="169"/>
      <c r="AU236" s="169"/>
      <c r="AV236" s="169"/>
      <c r="AW236" s="169"/>
    </row>
    <row r="237" spans="1:49" ht="36" hidden="1" thickBot="1">
      <c r="A237" s="272">
        <v>64</v>
      </c>
      <c r="B237" s="273"/>
      <c r="C237" s="312"/>
      <c r="D237" s="264"/>
      <c r="E237" s="259"/>
      <c r="F237" s="86">
        <f t="shared" si="35"/>
        <v>0</v>
      </c>
      <c r="G237" s="87">
        <f t="shared" si="56"/>
        <v>0</v>
      </c>
      <c r="H237" s="264"/>
      <c r="I237" s="259"/>
      <c r="J237" s="86">
        <f t="shared" si="36"/>
        <v>0</v>
      </c>
      <c r="K237" s="87">
        <f t="shared" si="37"/>
        <v>0</v>
      </c>
      <c r="L237" s="264"/>
      <c r="M237" s="259"/>
      <c r="N237" s="86">
        <f t="shared" si="38"/>
        <v>0</v>
      </c>
      <c r="O237" s="87">
        <f t="shared" si="39"/>
        <v>0</v>
      </c>
      <c r="P237" s="264"/>
      <c r="Q237" s="259"/>
      <c r="R237" s="86">
        <f t="shared" si="40"/>
        <v>0</v>
      </c>
      <c r="S237" s="87">
        <f t="shared" si="41"/>
        <v>0</v>
      </c>
      <c r="T237" s="202">
        <f t="shared" si="42"/>
        <v>0</v>
      </c>
      <c r="U237" s="207">
        <f t="shared" si="43"/>
        <v>0</v>
      </c>
      <c r="V237" s="227">
        <f t="shared" si="44"/>
        <v>-1</v>
      </c>
      <c r="W237" s="228">
        <f t="shared" si="45"/>
        <v>0</v>
      </c>
      <c r="X237" s="230">
        <f t="shared" si="46"/>
        <v>0</v>
      </c>
      <c r="Y237" s="204"/>
      <c r="Z237" s="242">
        <f t="shared" si="47"/>
        <v>-1</v>
      </c>
      <c r="AA237" s="142">
        <f t="shared" si="48"/>
        <v>0</v>
      </c>
      <c r="AB237" s="142">
        <f t="shared" si="49"/>
        <v>0</v>
      </c>
      <c r="AE237" s="142">
        <f t="shared" si="50"/>
        <v>0</v>
      </c>
      <c r="AF237" s="142">
        <f t="shared" si="51"/>
        <v>0</v>
      </c>
      <c r="AI237" s="142">
        <f t="shared" si="52"/>
        <v>0</v>
      </c>
      <c r="AJ237" s="142">
        <f t="shared" si="53"/>
        <v>0</v>
      </c>
      <c r="AM237" s="142">
        <f t="shared" si="54"/>
        <v>0</v>
      </c>
      <c r="AN237" s="142">
        <f t="shared" si="55"/>
        <v>0</v>
      </c>
      <c r="AS237" s="169"/>
      <c r="AT237" s="169"/>
      <c r="AU237" s="169"/>
      <c r="AV237" s="169"/>
      <c r="AW237" s="169"/>
    </row>
    <row r="238" spans="1:49" ht="45.75" hidden="1" thickTop="1" thickBot="1">
      <c r="A238" s="178" t="s">
        <v>34</v>
      </c>
      <c r="B238" s="179"/>
      <c r="C238" s="180"/>
      <c r="D238" s="181"/>
      <c r="E238" s="181"/>
      <c r="F238" s="182"/>
      <c r="G238" s="336">
        <f>SUM(G174:G237)</f>
        <v>0</v>
      </c>
      <c r="H238" s="181"/>
      <c r="I238" s="181"/>
      <c r="J238" s="182"/>
      <c r="K238" s="336">
        <f>SUM(K174:K237)</f>
        <v>0</v>
      </c>
      <c r="L238" s="181"/>
      <c r="M238" s="181"/>
      <c r="N238" s="182"/>
      <c r="O238" s="336">
        <f>SUM(O174:O237)</f>
        <v>0</v>
      </c>
      <c r="P238" s="6"/>
      <c r="Q238" s="181"/>
      <c r="R238" s="182"/>
      <c r="S238" s="336">
        <f>SUM(S174:S237)</f>
        <v>0</v>
      </c>
      <c r="T238" s="181"/>
      <c r="U238" s="181"/>
      <c r="V238" s="197"/>
      <c r="W238" s="198"/>
      <c r="X238" s="199"/>
      <c r="Y238" s="64"/>
      <c r="Z238" s="7"/>
      <c r="AA238" s="145"/>
      <c r="AB238" s="145"/>
      <c r="AC238" s="162"/>
      <c r="AD238" s="162"/>
      <c r="AE238" s="145"/>
      <c r="AF238" s="145"/>
      <c r="AG238" s="162"/>
      <c r="AH238" s="162"/>
      <c r="AI238" s="145"/>
      <c r="AJ238" s="145"/>
      <c r="AK238" s="162"/>
      <c r="AL238" s="162"/>
      <c r="AM238" s="145"/>
      <c r="AN238" s="145"/>
      <c r="AO238" s="162"/>
      <c r="AP238" s="162"/>
      <c r="AQ238" s="162"/>
      <c r="AR238" s="162"/>
      <c r="AS238" s="170"/>
      <c r="AT238" s="170"/>
      <c r="AU238" s="170"/>
      <c r="AV238" s="170"/>
      <c r="AW238" s="170"/>
    </row>
    <row r="239" spans="1:49" ht="30.75" hidden="1" thickTop="1">
      <c r="A239" s="8" t="s">
        <v>25</v>
      </c>
      <c r="C239" s="3"/>
      <c r="E239" s="3" t="s">
        <v>16</v>
      </c>
      <c r="F239" s="3"/>
      <c r="G239" s="3"/>
      <c r="I239" s="4" t="s">
        <v>17</v>
      </c>
      <c r="J239" s="4"/>
      <c r="K239" s="4"/>
      <c r="M239" s="4" t="s">
        <v>18</v>
      </c>
      <c r="N239" s="4"/>
      <c r="O239" s="4"/>
      <c r="Q239" s="3" t="s">
        <v>19</v>
      </c>
      <c r="R239" s="3"/>
      <c r="S239" s="3"/>
      <c r="T239" s="3"/>
      <c r="U239" s="3"/>
      <c r="Y239" s="57"/>
      <c r="Z239" s="3"/>
      <c r="AS239" s="159"/>
    </row>
    <row r="240" spans="1:49" hidden="1">
      <c r="J240" s="4"/>
      <c r="K240" s="4"/>
      <c r="L240" s="4"/>
      <c r="M240" s="4"/>
      <c r="N240" s="4"/>
      <c r="O240" s="4"/>
      <c r="P240" s="3"/>
      <c r="Q240" s="3"/>
      <c r="R240" s="3"/>
      <c r="S240" s="3"/>
      <c r="T240" s="3" t="s">
        <v>20</v>
      </c>
      <c r="U240" s="3"/>
      <c r="Y240" s="57"/>
      <c r="Z240" s="3"/>
      <c r="AA240" s="146">
        <f>SUM(AA174:AA237)</f>
        <v>0</v>
      </c>
      <c r="AB240" s="146">
        <f>SUM(AB174:AB237)</f>
        <v>0</v>
      </c>
      <c r="AC240" s="163"/>
      <c r="AE240" s="146">
        <f>SUM(AE174:AE237)</f>
        <v>0</v>
      </c>
      <c r="AF240" s="146">
        <f>SUM(AF174:AF237)</f>
        <v>0</v>
      </c>
      <c r="AG240" s="163"/>
      <c r="AI240" s="146">
        <f>SUM(AI174:AI237)</f>
        <v>0</v>
      </c>
      <c r="AJ240" s="146">
        <f>SUM(AJ174:AJ237)</f>
        <v>0</v>
      </c>
      <c r="AK240" s="163"/>
      <c r="AM240" s="146">
        <f>SUM(AM174:AM237)</f>
        <v>0</v>
      </c>
      <c r="AN240" s="146">
        <f>SUM(AN174:AN237)</f>
        <v>0</v>
      </c>
      <c r="AO240" s="163"/>
      <c r="AS240" s="159"/>
    </row>
    <row r="241" spans="1:45" hidden="1">
      <c r="A241" s="3"/>
      <c r="B241" s="3"/>
      <c r="C241" s="3"/>
      <c r="D241" s="29"/>
      <c r="E241" s="3"/>
      <c r="F241" s="3"/>
      <c r="G241" s="10"/>
      <c r="H241" s="4"/>
      <c r="I241" s="4"/>
      <c r="J241" s="4"/>
      <c r="K241" s="11"/>
      <c r="L241" s="4"/>
      <c r="M241" s="4"/>
      <c r="N241" s="4"/>
      <c r="O241" s="4"/>
      <c r="P241" s="9"/>
      <c r="Q241" s="3"/>
      <c r="R241" s="3"/>
      <c r="S241" s="10"/>
      <c r="T241" s="9"/>
      <c r="U241" s="3"/>
      <c r="Y241" s="57"/>
      <c r="Z241" s="3"/>
      <c r="AE241" s="146"/>
      <c r="AS241" s="159"/>
    </row>
    <row r="242" spans="1:45" hidden="1">
      <c r="A242" s="3"/>
      <c r="D242" s="241">
        <f>+AA242</f>
        <v>0</v>
      </c>
      <c r="E242" s="13">
        <f>+AB242</f>
        <v>0</v>
      </c>
      <c r="F242" s="14"/>
      <c r="G242" s="15"/>
      <c r="H242" s="13">
        <f>+AE242</f>
        <v>0</v>
      </c>
      <c r="I242" s="13">
        <f>+AF242</f>
        <v>0</v>
      </c>
      <c r="J242" s="13"/>
      <c r="K242" s="16"/>
      <c r="L242" s="13">
        <f>+AI242</f>
        <v>0</v>
      </c>
      <c r="M242" s="13">
        <f>+AJ242</f>
        <v>0</v>
      </c>
      <c r="N242" s="17"/>
      <c r="O242" s="17"/>
      <c r="P242" s="12">
        <f>+AM242</f>
        <v>0</v>
      </c>
      <c r="Q242" s="13">
        <f>+AN242</f>
        <v>0</v>
      </c>
      <c r="R242" s="14"/>
      <c r="S242" s="15"/>
      <c r="T242" s="18"/>
      <c r="U242" s="19"/>
      <c r="Z242" s="3"/>
      <c r="AA242" s="146">
        <f>COUNT(AA174:AA237)-COUNTIF(F174:F237,1)/2-COUNTIF(AA174:AA237,0)</f>
        <v>0</v>
      </c>
      <c r="AB242" s="146">
        <f>COUNT(AB174:AB237)-COUNTIF(F174:F237,1)/2-COUNTIF(AB174:AB237,0)</f>
        <v>0</v>
      </c>
      <c r="AC242" s="163"/>
      <c r="AE242" s="146">
        <f>COUNT(AE174:AE237)-COUNTIF(J174:J237,1)/2-COUNTIF(AE174:AE237,0)</f>
        <v>0</v>
      </c>
      <c r="AF242" s="146">
        <f>COUNT(AF174:AF237)-COUNTIF(J174:J237,1)/2-COUNTIF(AF174:AF237,0)</f>
        <v>0</v>
      </c>
      <c r="AG242" s="163"/>
      <c r="AH242" s="163">
        <f>COUNT(AH174:AH237)</f>
        <v>0</v>
      </c>
      <c r="AI242" s="146">
        <f>COUNT(AI174:AI237)-COUNTIF(N174:N237,1)/2-COUNTIF(AI174:AI237,0)</f>
        <v>0</v>
      </c>
      <c r="AJ242" s="146">
        <f>COUNT(AJ174:AJ237)-COUNTIF(N174:N237,1)/2-COUNTIF(AJ174:AJ237,0)</f>
        <v>0</v>
      </c>
      <c r="AK242" s="163"/>
      <c r="AL242" s="163">
        <f>COUNT(AL174:AL237)</f>
        <v>0</v>
      </c>
      <c r="AM242" s="146">
        <f>COUNT(AM174:AM237)-COUNTIF(R174:R237,1)/2-COUNTIF(AM174:AM237,0)</f>
        <v>0</v>
      </c>
      <c r="AN242" s="146">
        <f>COUNT(AN174:AN237)-COUNTIF(R174:R237,1)/2-COUNTIF(AN174:AN237,0)</f>
        <v>0</v>
      </c>
      <c r="AO242" s="163"/>
      <c r="AS242" s="159"/>
    </row>
    <row r="243" spans="1:45" hidden="1">
      <c r="A243" s="20" t="s">
        <v>21</v>
      </c>
      <c r="D243" s="27">
        <f>+SUM(D174:D237)</f>
        <v>0</v>
      </c>
      <c r="E243" s="240"/>
      <c r="F243" s="23"/>
      <c r="G243" s="24"/>
      <c r="H243" s="25">
        <f>+SUM(H174:H237)</f>
        <v>0</v>
      </c>
      <c r="I243" s="26"/>
      <c r="J243" s="27"/>
      <c r="K243" s="28"/>
      <c r="L243" s="25">
        <f>+SUM(L174:L237)</f>
        <v>0</v>
      </c>
      <c r="M243" s="26"/>
      <c r="N243" s="27"/>
      <c r="O243" s="27"/>
      <c r="P243" s="21">
        <f>+SUM(P174:P237)</f>
        <v>0</v>
      </c>
      <c r="Q243" s="22"/>
      <c r="R243" s="23"/>
      <c r="S243" s="24"/>
      <c r="T243" s="21">
        <f>+SUM(T174:T237)</f>
        <v>0</v>
      </c>
      <c r="U243" s="22"/>
      <c r="V243" s="74"/>
      <c r="W243" s="74"/>
      <c r="Z243" s="3"/>
      <c r="AS243" s="159"/>
    </row>
    <row r="244" spans="1:45" hidden="1">
      <c r="A244" s="29" t="s">
        <v>22</v>
      </c>
      <c r="B244" s="244"/>
      <c r="D244" s="240"/>
      <c r="E244" s="26">
        <f>+SUM(E174:E237)</f>
        <v>0</v>
      </c>
      <c r="F244" s="23"/>
      <c r="G244" s="24"/>
      <c r="H244" s="25"/>
      <c r="I244" s="26">
        <f>+SUM(I174:I237)</f>
        <v>0</v>
      </c>
      <c r="J244" s="27"/>
      <c r="K244" s="28"/>
      <c r="L244" s="25"/>
      <c r="M244" s="26">
        <f>+SUM(M174:M237)</f>
        <v>0</v>
      </c>
      <c r="N244" s="27"/>
      <c r="O244" s="27"/>
      <c r="P244" s="30"/>
      <c r="Q244" s="26">
        <f>+SUM(Q174:Q237)</f>
        <v>0</v>
      </c>
      <c r="R244" s="23"/>
      <c r="S244" s="24"/>
      <c r="T244" s="30"/>
      <c r="U244" s="26">
        <f>+SUM(U174:U237)</f>
        <v>0</v>
      </c>
      <c r="V244" s="75"/>
      <c r="W244" s="74"/>
      <c r="X244" s="63"/>
      <c r="Y244" s="63"/>
      <c r="Z244" s="3"/>
      <c r="AS244" s="159"/>
    </row>
    <row r="245" spans="1:45" ht="30.75" hidden="1" thickBot="1">
      <c r="A245" s="29" t="s">
        <v>23</v>
      </c>
      <c r="B245" s="244"/>
      <c r="D245" s="243"/>
      <c r="E245" s="32"/>
      <c r="F245" s="33">
        <f>+SUM(F174:F237)</f>
        <v>0</v>
      </c>
      <c r="G245" s="34"/>
      <c r="H245" s="35"/>
      <c r="I245" s="36"/>
      <c r="J245" s="33">
        <f>+SUM(J174:J237)</f>
        <v>0</v>
      </c>
      <c r="K245" s="37"/>
      <c r="L245" s="35"/>
      <c r="M245" s="36"/>
      <c r="N245" s="33">
        <f>+SUM(N174:N237)</f>
        <v>0</v>
      </c>
      <c r="O245" s="38"/>
      <c r="P245" s="31"/>
      <c r="Q245" s="32"/>
      <c r="R245" s="33">
        <f>+SUM(R174:R237)</f>
        <v>0</v>
      </c>
      <c r="S245" s="34"/>
      <c r="T245" s="31"/>
      <c r="U245" s="32"/>
      <c r="V245" s="76"/>
      <c r="W245" s="76"/>
      <c r="X245" s="65"/>
      <c r="Y245" s="65"/>
      <c r="Z245" s="3"/>
      <c r="AS245" s="159"/>
    </row>
    <row r="246" spans="1:45">
      <c r="A246" s="346"/>
    </row>
  </sheetData>
  <sheetProtection sheet="1" objects="1" scenarios="1" selectLockedCells="1"/>
  <protectedRanges>
    <protectedRange sqref="P174:Q237 P11:Q74" name="Range1"/>
  </protectedRanges>
  <sortState ref="B11:X74">
    <sortCondition descending="1" ref="V11:V74"/>
    <sortCondition descending="1" ref="W11:W74"/>
    <sortCondition descending="1" ref="X11:X74"/>
  </sortState>
  <dataConsolidate/>
  <phoneticPr fontId="4" type="noConversion"/>
  <printOptions gridLines="1"/>
  <pageMargins left="0.5" right="0.25" top="0" bottom="0" header="0" footer="0"/>
  <pageSetup scale="29" orientation="portrait" horizontalDpi="300" verticalDpi="300" r:id="rId1"/>
  <headerFooter alignWithMargins="0"/>
  <rowBreaks count="1" manualBreakCount="1">
    <brk id="3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B050"/>
  </sheetPr>
  <dimension ref="A1:BU434"/>
  <sheetViews>
    <sheetView showZeros="0" view="pageBreakPreview" zoomScale="44" zoomScaleNormal="30" zoomScaleSheetLayoutView="44" workbookViewId="0">
      <pane xSplit="1" topLeftCell="B1" activePane="topRight" state="frozen"/>
      <selection pane="topRight" activeCell="A3" sqref="A3"/>
    </sheetView>
  </sheetViews>
  <sheetFormatPr defaultColWidth="24.7109375" defaultRowHeight="23.25"/>
  <cols>
    <col min="1" max="1" width="30.7109375" style="379" customWidth="1"/>
    <col min="2" max="7" width="43.85546875" style="247" customWidth="1"/>
    <col min="8" max="8" width="15.7109375" style="247" customWidth="1"/>
    <col min="9" max="9" width="43.85546875" style="247" customWidth="1"/>
    <col min="10" max="10" width="35.42578125" style="247" customWidth="1"/>
    <col min="11" max="11" width="34.7109375" style="247" customWidth="1"/>
    <col min="12" max="14" width="43.85546875" style="247" customWidth="1"/>
    <col min="15" max="15" width="29.42578125" style="247" customWidth="1"/>
    <col min="16" max="19" width="43.85546875" style="247" customWidth="1"/>
    <col min="20" max="20" width="28.85546875" style="247" customWidth="1"/>
    <col min="21" max="24" width="43.85546875" style="247" customWidth="1"/>
    <col min="25" max="25" width="37.28515625" style="247" customWidth="1"/>
    <col min="26" max="26" width="43.85546875" style="247" customWidth="1"/>
    <col min="27" max="27" width="33.140625" style="247" customWidth="1"/>
    <col min="28" max="28" width="43.85546875" style="247" customWidth="1"/>
    <col min="29" max="29" width="54.85546875" style="247" bestFit="1" customWidth="1"/>
    <col min="30" max="31" width="43.85546875" style="247" customWidth="1"/>
    <col min="32" max="32" width="33.42578125" style="247" customWidth="1"/>
    <col min="33" max="36" width="43.85546875" style="247" customWidth="1"/>
    <col min="37" max="38" width="43.85546875" style="248" customWidth="1"/>
    <col min="39" max="42" width="43.85546875" style="247" customWidth="1"/>
    <col min="43" max="43" width="43.85546875" style="248" customWidth="1"/>
    <col min="44" max="61" width="43.85546875" style="247" customWidth="1"/>
    <col min="62" max="16384" width="24.7109375" style="247"/>
  </cols>
  <sheetData>
    <row r="1" spans="1:73" ht="38.1" customHeight="1">
      <c r="A1" s="518"/>
      <c r="B1" s="393" t="s">
        <v>36</v>
      </c>
      <c r="C1" s="267"/>
      <c r="D1"/>
      <c r="E1"/>
      <c r="F1" s="394"/>
      <c r="G1" s="395"/>
      <c r="H1" s="377"/>
      <c r="I1" s="377"/>
      <c r="J1" s="377"/>
      <c r="K1" s="377"/>
      <c r="L1" s="377"/>
      <c r="M1" s="409"/>
      <c r="N1" s="410"/>
      <c r="O1" s="410"/>
      <c r="P1" s="410"/>
      <c r="Q1" s="377"/>
      <c r="R1" s="377"/>
      <c r="S1" s="377"/>
      <c r="T1" s="377"/>
      <c r="U1" s="377"/>
      <c r="V1" s="377"/>
      <c r="W1" s="377"/>
      <c r="X1" s="377"/>
      <c r="Y1" s="377"/>
      <c r="Z1" s="377"/>
      <c r="AA1" s="377"/>
      <c r="AB1" s="377"/>
      <c r="AC1" s="377"/>
      <c r="AD1" s="377"/>
      <c r="AE1" s="377"/>
      <c r="AF1" s="409"/>
      <c r="AG1" s="377"/>
      <c r="AH1" s="377"/>
      <c r="AI1" s="377"/>
      <c r="AJ1" s="377"/>
      <c r="AK1" s="408"/>
      <c r="AL1" s="408"/>
      <c r="AM1" s="377"/>
      <c r="AN1" s="377"/>
      <c r="AO1" s="377"/>
      <c r="AP1" s="377"/>
      <c r="AQ1" s="408"/>
      <c r="AR1" s="408"/>
      <c r="AS1" s="377"/>
      <c r="AT1" s="377"/>
      <c r="AU1" s="377"/>
      <c r="AV1" s="377"/>
      <c r="AW1" s="400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  <c r="BR1" s="254"/>
      <c r="BS1" s="254"/>
      <c r="BT1" s="254"/>
      <c r="BU1" s="254"/>
    </row>
    <row r="2" spans="1:73" s="354" customFormat="1" ht="38.1" customHeight="1">
      <c r="A2" s="518"/>
      <c r="B2" s="396"/>
      <c r="C2" s="397"/>
      <c r="D2" s="397"/>
      <c r="E2" s="398"/>
      <c r="F2" s="399" t="s">
        <v>255</v>
      </c>
      <c r="G2" s="411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0"/>
      <c r="V2" s="370"/>
      <c r="W2" s="370"/>
      <c r="X2" s="370"/>
      <c r="Y2" s="370"/>
      <c r="Z2" s="370"/>
      <c r="AA2" s="370"/>
      <c r="AB2" s="370"/>
      <c r="AC2" s="370"/>
      <c r="AD2" s="370"/>
      <c r="AE2" s="370"/>
      <c r="AF2" s="412"/>
      <c r="AG2" s="370"/>
      <c r="AH2" s="370"/>
      <c r="AI2" s="370"/>
      <c r="AJ2" s="370"/>
      <c r="AK2" s="370"/>
      <c r="AL2" s="370"/>
      <c r="AM2" s="377"/>
      <c r="AN2" s="377"/>
      <c r="AO2" s="377"/>
      <c r="AP2" s="377"/>
      <c r="AQ2" s="377"/>
      <c r="AR2" s="377"/>
      <c r="AS2" s="377"/>
      <c r="AT2" s="377"/>
      <c r="AU2" s="377"/>
      <c r="AV2" s="408"/>
      <c r="AW2" s="400"/>
      <c r="AX2" s="254"/>
      <c r="AY2" s="254"/>
      <c r="AZ2" s="254"/>
      <c r="BA2" s="400"/>
      <c r="BB2" s="254"/>
      <c r="BC2" s="254"/>
      <c r="BD2" s="254"/>
      <c r="BE2" s="254"/>
      <c r="BF2" s="254"/>
      <c r="BG2" s="254"/>
      <c r="BH2" s="254"/>
      <c r="BI2" s="254"/>
      <c r="BJ2" s="254"/>
      <c r="BK2" s="254"/>
      <c r="BL2" s="254"/>
      <c r="BM2" s="254"/>
      <c r="BN2" s="254"/>
      <c r="BO2" s="254"/>
      <c r="BP2" s="254"/>
      <c r="BQ2" s="254"/>
      <c r="BR2" s="254"/>
      <c r="BS2" s="254"/>
      <c r="BT2" s="368"/>
      <c r="BU2" s="368"/>
    </row>
    <row r="3" spans="1:73" s="354" customFormat="1" ht="38.1" customHeight="1">
      <c r="A3" s="519"/>
      <c r="B3" s="445" t="str">
        <f>A4</f>
        <v xml:space="preserve">Luke </v>
      </c>
      <c r="C3" s="444"/>
      <c r="D3" s="444"/>
      <c r="E3" s="444"/>
      <c r="F3" s="444"/>
      <c r="G3" s="444"/>
      <c r="H3" s="370"/>
      <c r="I3" s="370" t="s">
        <v>120</v>
      </c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57"/>
      <c r="AD3" s="370"/>
      <c r="AE3" s="371"/>
      <c r="AF3" s="412"/>
      <c r="AG3" s="371"/>
      <c r="AH3" s="402"/>
      <c r="AI3" s="371"/>
      <c r="AJ3" s="370"/>
      <c r="AK3" s="370"/>
      <c r="AL3" s="370"/>
      <c r="AM3" s="409"/>
      <c r="AN3" s="409"/>
      <c r="AO3" s="409"/>
      <c r="AP3" s="377"/>
      <c r="AQ3" s="409"/>
      <c r="AR3" s="409"/>
      <c r="AS3" s="409"/>
      <c r="AT3" s="409"/>
      <c r="AU3" s="409"/>
      <c r="AV3" s="413"/>
      <c r="AW3" s="403"/>
      <c r="AX3" s="401"/>
      <c r="AY3" s="401"/>
      <c r="AZ3" s="401"/>
      <c r="BA3" s="403"/>
      <c r="BB3" s="401"/>
      <c r="BC3" s="401"/>
      <c r="BD3" s="401"/>
      <c r="BE3" s="401"/>
      <c r="BF3" s="401"/>
      <c r="BG3" s="401"/>
      <c r="BH3" s="401"/>
      <c r="BI3" s="401"/>
      <c r="BJ3" s="401"/>
      <c r="BK3" s="401"/>
      <c r="BL3" s="401"/>
      <c r="BM3" s="401"/>
      <c r="BN3" s="401"/>
      <c r="BO3" s="254"/>
      <c r="BP3" s="254"/>
      <c r="BQ3" s="254"/>
      <c r="BR3" s="254"/>
      <c r="BS3" s="254"/>
      <c r="BT3" s="368"/>
      <c r="BU3" s="368"/>
    </row>
    <row r="4" spans="1:73" s="354" customFormat="1" ht="38.1" customHeight="1">
      <c r="A4" s="520" t="s">
        <v>53</v>
      </c>
      <c r="B4" s="445" t="s">
        <v>167</v>
      </c>
      <c r="C4" s="476"/>
      <c r="D4" s="445"/>
      <c r="E4" s="445"/>
      <c r="F4" s="445"/>
      <c r="G4" s="445"/>
      <c r="H4" s="370"/>
      <c r="I4" s="370"/>
      <c r="J4" s="370"/>
      <c r="K4" s="370"/>
      <c r="L4" s="370"/>
      <c r="M4" s="370"/>
      <c r="N4" s="370"/>
      <c r="O4" s="370"/>
      <c r="P4" s="370"/>
      <c r="Q4" s="370"/>
      <c r="R4" s="370"/>
      <c r="S4" s="370"/>
      <c r="T4" s="370"/>
      <c r="U4" s="370"/>
      <c r="V4" s="370"/>
      <c r="W4" s="370"/>
      <c r="X4" s="370"/>
      <c r="Y4" s="370"/>
      <c r="Z4" s="370"/>
      <c r="AA4" s="370"/>
      <c r="AB4" s="370"/>
      <c r="AC4" s="370"/>
      <c r="AD4" s="370"/>
      <c r="AE4" s="371"/>
      <c r="AF4" s="412"/>
      <c r="AG4" s="370"/>
      <c r="AH4" s="370"/>
      <c r="AI4" s="370"/>
      <c r="AJ4" s="370"/>
      <c r="AK4" s="370"/>
      <c r="AL4" s="370"/>
      <c r="AM4" s="412"/>
      <c r="AN4" s="412"/>
      <c r="AO4" s="412"/>
      <c r="AP4" s="370"/>
      <c r="AQ4" s="412"/>
      <c r="AR4" s="412"/>
      <c r="AS4" s="412"/>
      <c r="AT4" s="412"/>
      <c r="AU4" s="412"/>
      <c r="AV4" s="414"/>
      <c r="AW4" s="359"/>
      <c r="AX4" s="364"/>
      <c r="AY4" s="364"/>
      <c r="AZ4" s="364"/>
      <c r="BA4" s="359"/>
      <c r="BB4" s="364"/>
      <c r="BC4" s="364"/>
      <c r="BD4" s="364"/>
      <c r="BE4" s="364"/>
      <c r="BF4" s="364"/>
      <c r="BG4" s="364"/>
      <c r="BH4" s="364"/>
      <c r="BI4" s="364"/>
      <c r="BJ4" s="364"/>
      <c r="BK4" s="364"/>
      <c r="BL4" s="364"/>
      <c r="BM4" s="364"/>
      <c r="BN4" s="364"/>
      <c r="BO4" s="368"/>
      <c r="BP4" s="368"/>
      <c r="BQ4" s="368"/>
      <c r="BR4" s="368"/>
      <c r="BS4" s="368"/>
      <c r="BT4" s="368"/>
      <c r="BU4" s="368"/>
    </row>
    <row r="5" spans="1:73" s="354" customFormat="1" ht="38.1" customHeight="1">
      <c r="A5" s="521" t="s">
        <v>54</v>
      </c>
      <c r="B5" s="447" t="s">
        <v>38</v>
      </c>
      <c r="C5" s="477"/>
      <c r="D5" s="445"/>
      <c r="E5" s="445"/>
      <c r="F5" s="445"/>
      <c r="G5" s="445"/>
      <c r="H5" s="370"/>
      <c r="I5" s="470">
        <v>1</v>
      </c>
      <c r="J5" s="470"/>
      <c r="K5" s="470"/>
      <c r="L5" s="370"/>
      <c r="M5" s="370"/>
      <c r="N5" s="370"/>
      <c r="O5" s="370"/>
      <c r="P5" s="370"/>
      <c r="Q5" s="370"/>
      <c r="R5" s="370"/>
      <c r="S5" s="370"/>
      <c r="T5" s="370"/>
      <c r="U5" s="370"/>
      <c r="V5" s="370"/>
      <c r="W5" s="370"/>
      <c r="X5" s="370"/>
      <c r="Y5" s="370"/>
      <c r="Z5" s="370"/>
      <c r="AA5" s="370"/>
      <c r="AB5" s="370"/>
      <c r="AC5" s="370"/>
      <c r="AD5" s="370"/>
      <c r="AE5" s="373"/>
      <c r="AF5" s="412"/>
      <c r="AG5" s="371"/>
      <c r="AH5" s="412"/>
      <c r="AI5" s="371"/>
      <c r="AJ5" s="370"/>
      <c r="AK5" s="370"/>
      <c r="AL5" s="370"/>
      <c r="AM5" s="412"/>
      <c r="AN5" s="412"/>
      <c r="AO5" s="412"/>
      <c r="AP5" s="370"/>
      <c r="AQ5" s="412"/>
      <c r="AR5" s="412"/>
      <c r="AS5" s="412"/>
      <c r="AT5" s="412"/>
      <c r="AU5" s="412"/>
      <c r="AV5" s="414"/>
      <c r="AW5" s="359"/>
      <c r="AX5" s="364"/>
      <c r="AY5" s="364"/>
      <c r="AZ5" s="364"/>
      <c r="BA5" s="359"/>
      <c r="BB5" s="364"/>
      <c r="BC5" s="364"/>
      <c r="BD5" s="364"/>
      <c r="BE5" s="364"/>
      <c r="BF5" s="364"/>
      <c r="BG5" s="364"/>
      <c r="BH5" s="364"/>
      <c r="BI5" s="364"/>
      <c r="BJ5" s="364"/>
      <c r="BK5" s="364"/>
      <c r="BL5" s="364"/>
      <c r="BM5" s="364"/>
      <c r="BN5" s="364"/>
      <c r="BO5" s="368"/>
      <c r="BP5" s="368"/>
      <c r="BQ5" s="368"/>
      <c r="BR5" s="368"/>
      <c r="BS5" s="368"/>
      <c r="BT5" s="368"/>
      <c r="BU5" s="368"/>
    </row>
    <row r="6" spans="1:73" s="354" customFormat="1" ht="38.1" customHeight="1">
      <c r="A6" s="521" t="s">
        <v>55</v>
      </c>
      <c r="B6" s="448" t="str">
        <f>A11</f>
        <v>Gary</v>
      </c>
      <c r="C6" s="478" t="s">
        <v>168</v>
      </c>
      <c r="D6" s="449"/>
      <c r="E6" s="445"/>
      <c r="F6" s="445"/>
      <c r="G6" s="445"/>
      <c r="H6" s="370"/>
      <c r="I6" s="471"/>
      <c r="J6" s="470"/>
      <c r="K6" s="4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1"/>
      <c r="AC6" s="412"/>
      <c r="AD6" s="370"/>
      <c r="AE6" s="370"/>
      <c r="AF6" s="412"/>
      <c r="AG6" s="371"/>
      <c r="AH6" s="412"/>
      <c r="AI6" s="370"/>
      <c r="AJ6" s="370"/>
      <c r="AK6" s="370"/>
      <c r="AL6" s="370"/>
      <c r="AM6" s="412"/>
      <c r="AN6" s="412"/>
      <c r="AO6" s="412"/>
      <c r="AP6" s="370"/>
      <c r="AQ6" s="412"/>
      <c r="AR6" s="412"/>
      <c r="AS6" s="412"/>
      <c r="AT6" s="412"/>
      <c r="AU6" s="412"/>
      <c r="AV6" s="414"/>
      <c r="AW6" s="359"/>
      <c r="AX6" s="364"/>
      <c r="AY6" s="364"/>
      <c r="AZ6" s="364"/>
      <c r="BA6" s="359"/>
      <c r="BB6" s="404"/>
      <c r="BC6" s="364"/>
      <c r="BD6" s="364"/>
      <c r="BE6" s="364"/>
      <c r="BF6" s="364"/>
      <c r="BG6" s="364"/>
      <c r="BH6" s="364"/>
      <c r="BI6" s="364"/>
      <c r="BJ6" s="364"/>
      <c r="BK6" s="364"/>
      <c r="BL6" s="364"/>
      <c r="BM6" s="364"/>
      <c r="BN6" s="364"/>
      <c r="BO6" s="368"/>
      <c r="BP6" s="368"/>
      <c r="BQ6" s="368"/>
      <c r="BR6" s="368"/>
      <c r="BS6" s="368"/>
      <c r="BT6" s="368"/>
      <c r="BU6" s="368"/>
    </row>
    <row r="7" spans="1:73" s="354" customFormat="1" ht="38.1" customHeight="1">
      <c r="A7" s="521" t="s">
        <v>56</v>
      </c>
      <c r="B7" s="445"/>
      <c r="C7" s="479" t="s">
        <v>39</v>
      </c>
      <c r="D7" s="450"/>
      <c r="E7" s="446"/>
      <c r="F7" s="445"/>
      <c r="G7" s="445"/>
      <c r="H7" s="412"/>
      <c r="I7" s="463">
        <v>8</v>
      </c>
      <c r="J7" s="464"/>
      <c r="K7" s="371"/>
      <c r="L7" s="371"/>
      <c r="M7" s="370"/>
      <c r="N7" s="370"/>
      <c r="O7" s="370"/>
      <c r="P7" s="370"/>
      <c r="Q7" s="371"/>
      <c r="R7" s="412"/>
      <c r="S7" s="371"/>
      <c r="T7" s="371"/>
      <c r="U7" s="371"/>
      <c r="V7" s="371"/>
      <c r="W7" s="412"/>
      <c r="X7" s="371"/>
      <c r="Y7" s="371"/>
      <c r="Z7" s="371"/>
      <c r="AA7" s="371"/>
      <c r="AB7" s="415"/>
      <c r="AC7" s="371"/>
      <c r="AD7" s="416"/>
      <c r="AE7" s="370"/>
      <c r="AF7" s="371"/>
      <c r="AG7" s="415"/>
      <c r="AH7" s="371"/>
      <c r="AI7" s="416"/>
      <c r="AJ7" s="370"/>
      <c r="AK7" s="370"/>
      <c r="AL7" s="370"/>
      <c r="AM7" s="417"/>
      <c r="AN7" s="417"/>
      <c r="AO7" s="412"/>
      <c r="AP7" s="370"/>
      <c r="AQ7" s="370"/>
      <c r="AR7" s="412"/>
      <c r="AS7" s="357"/>
      <c r="AT7" s="412"/>
      <c r="AU7" s="412"/>
      <c r="AV7" s="414"/>
      <c r="AW7" s="359"/>
      <c r="AX7" s="364"/>
      <c r="AY7" s="364"/>
      <c r="AZ7" s="364"/>
      <c r="BA7" s="359"/>
      <c r="BB7" s="364"/>
      <c r="BC7" s="364"/>
      <c r="BD7" s="364"/>
      <c r="BE7" s="364"/>
      <c r="BF7" s="364"/>
      <c r="BG7" s="364"/>
      <c r="BH7" s="364"/>
      <c r="BI7" s="364"/>
      <c r="BJ7" s="364"/>
      <c r="BK7" s="364"/>
      <c r="BL7" s="406"/>
      <c r="BM7" s="406"/>
      <c r="BN7" s="364"/>
      <c r="BO7" s="368"/>
      <c r="BP7" s="368"/>
      <c r="BQ7" s="368"/>
      <c r="BR7" s="368"/>
      <c r="BS7" s="368"/>
      <c r="BT7" s="368"/>
      <c r="BU7" s="368"/>
    </row>
    <row r="8" spans="1:73" s="354" customFormat="1" ht="38.1" customHeight="1">
      <c r="A8" s="521" t="s">
        <v>57</v>
      </c>
      <c r="B8" s="450" t="str">
        <f>A7</f>
        <v>Downs</v>
      </c>
      <c r="C8" s="480"/>
      <c r="D8" s="449"/>
      <c r="E8" s="451"/>
      <c r="F8" s="445"/>
      <c r="G8" s="445"/>
      <c r="H8" s="412"/>
      <c r="I8" s="371"/>
      <c r="J8" s="466"/>
      <c r="K8" s="371"/>
      <c r="L8" s="371"/>
      <c r="M8" s="412"/>
      <c r="N8" s="412"/>
      <c r="O8" s="371"/>
      <c r="P8" s="371"/>
      <c r="Q8" s="371"/>
      <c r="R8" s="412"/>
      <c r="S8" s="412"/>
      <c r="T8" s="371"/>
      <c r="U8" s="371"/>
      <c r="V8" s="371"/>
      <c r="W8" s="412"/>
      <c r="X8" s="412"/>
      <c r="Y8" s="371"/>
      <c r="Z8" s="371"/>
      <c r="AA8" s="371"/>
      <c r="AB8" s="373"/>
      <c r="AC8" s="412"/>
      <c r="AD8" s="371"/>
      <c r="AE8" s="370"/>
      <c r="AF8" s="371"/>
      <c r="AG8" s="373"/>
      <c r="AH8" s="412"/>
      <c r="AI8" s="371"/>
      <c r="AJ8" s="370"/>
      <c r="AK8" s="370"/>
      <c r="AL8" s="370"/>
      <c r="AM8" s="412"/>
      <c r="AN8" s="412"/>
      <c r="AO8" s="412"/>
      <c r="AP8" s="370"/>
      <c r="AQ8" s="412"/>
      <c r="AR8" s="412"/>
      <c r="AS8" s="412"/>
      <c r="AT8" s="412"/>
      <c r="AU8" s="412"/>
      <c r="AV8" s="414"/>
      <c r="AW8" s="359"/>
      <c r="AX8" s="364"/>
      <c r="AY8" s="364"/>
      <c r="AZ8" s="364"/>
      <c r="BA8" s="359"/>
      <c r="BB8" s="364"/>
      <c r="BC8" s="364"/>
      <c r="BD8" s="364"/>
      <c r="BE8" s="364"/>
      <c r="BF8" s="364"/>
      <c r="BG8" s="364"/>
      <c r="BH8" s="361"/>
      <c r="BI8" s="364"/>
      <c r="BJ8" s="364"/>
      <c r="BK8" s="364"/>
      <c r="BL8" s="364"/>
      <c r="BM8" s="364"/>
      <c r="BN8" s="364"/>
      <c r="BO8" s="368"/>
      <c r="BP8" s="368"/>
      <c r="BQ8" s="368"/>
      <c r="BR8" s="368"/>
      <c r="BS8" s="368"/>
      <c r="BT8" s="368"/>
      <c r="BU8" s="368"/>
    </row>
    <row r="9" spans="1:73" s="354" customFormat="1" ht="38.1" customHeight="1">
      <c r="A9" s="521" t="s">
        <v>58</v>
      </c>
      <c r="B9" s="452" t="s">
        <v>169</v>
      </c>
      <c r="C9" s="481"/>
      <c r="D9" s="449"/>
      <c r="E9" s="451"/>
      <c r="F9" s="445"/>
      <c r="G9" s="445"/>
      <c r="H9" s="371"/>
      <c r="I9" s="371">
        <v>4</v>
      </c>
      <c r="J9" s="467"/>
      <c r="K9" s="465"/>
      <c r="L9" s="373"/>
      <c r="M9" s="371"/>
      <c r="N9" s="416"/>
      <c r="O9" s="357"/>
      <c r="P9" s="373"/>
      <c r="Q9" s="373"/>
      <c r="R9" s="371"/>
      <c r="S9" s="416"/>
      <c r="T9" s="357"/>
      <c r="U9" s="373"/>
      <c r="V9" s="373"/>
      <c r="W9" s="371"/>
      <c r="X9" s="416"/>
      <c r="Y9" s="357"/>
      <c r="Z9" s="373"/>
      <c r="AA9" s="370"/>
      <c r="AB9" s="371"/>
      <c r="AC9" s="376"/>
      <c r="AD9" s="371"/>
      <c r="AE9" s="370"/>
      <c r="AF9" s="373"/>
      <c r="AG9" s="371"/>
      <c r="AH9" s="376"/>
      <c r="AI9" s="371"/>
      <c r="AJ9" s="370"/>
      <c r="AK9" s="370"/>
      <c r="AL9" s="370"/>
      <c r="AM9" s="371"/>
      <c r="AN9" s="412"/>
      <c r="AO9" s="375"/>
      <c r="AP9" s="370"/>
      <c r="AQ9" s="371"/>
      <c r="AR9" s="412"/>
      <c r="AS9" s="371"/>
      <c r="AT9" s="412"/>
      <c r="AU9" s="412"/>
      <c r="AV9" s="414"/>
      <c r="AW9" s="359"/>
      <c r="AX9" s="364"/>
      <c r="AY9" s="355"/>
      <c r="AZ9" s="355"/>
      <c r="BA9" s="359"/>
      <c r="BB9" s="364"/>
      <c r="BC9" s="355"/>
      <c r="BD9" s="355"/>
      <c r="BE9" s="364"/>
      <c r="BF9" s="364"/>
      <c r="BG9" s="355"/>
      <c r="BH9" s="364"/>
      <c r="BI9" s="355"/>
      <c r="BJ9" s="364"/>
      <c r="BK9" s="355"/>
      <c r="BL9" s="355"/>
      <c r="BM9" s="364"/>
      <c r="BN9" s="358"/>
      <c r="BO9" s="368"/>
      <c r="BP9" s="368"/>
      <c r="BQ9" s="368"/>
      <c r="BR9" s="368"/>
      <c r="BS9" s="368"/>
      <c r="BT9" s="368"/>
      <c r="BU9" s="368"/>
    </row>
    <row r="10" spans="1:73" s="354" customFormat="1" ht="38.1" customHeight="1">
      <c r="A10" s="521" t="s">
        <v>59</v>
      </c>
      <c r="B10" s="447" t="s">
        <v>142</v>
      </c>
      <c r="C10" s="462"/>
      <c r="D10" s="449"/>
      <c r="E10" s="451"/>
      <c r="F10" s="445"/>
      <c r="G10" s="445" t="s">
        <v>116</v>
      </c>
      <c r="H10" s="371"/>
      <c r="I10" s="464"/>
      <c r="J10" s="463"/>
      <c r="K10" s="468"/>
      <c r="L10" s="373"/>
      <c r="M10" s="371"/>
      <c r="N10" s="371"/>
      <c r="O10" s="412"/>
      <c r="P10" s="418"/>
      <c r="Q10" s="373"/>
      <c r="R10" s="371"/>
      <c r="S10" s="371"/>
      <c r="T10" s="412"/>
      <c r="U10" s="418"/>
      <c r="V10" s="373"/>
      <c r="W10" s="376"/>
      <c r="X10" s="371"/>
      <c r="Y10" s="412"/>
      <c r="Z10" s="418"/>
      <c r="AA10" s="370"/>
      <c r="AB10" s="371"/>
      <c r="AC10" s="373"/>
      <c r="AD10" s="371"/>
      <c r="AE10" s="370"/>
      <c r="AF10" s="370"/>
      <c r="AG10" s="371"/>
      <c r="AH10" s="373"/>
      <c r="AI10" s="371"/>
      <c r="AJ10" s="370"/>
      <c r="AK10" s="370"/>
      <c r="AL10" s="370"/>
      <c r="AM10" s="371"/>
      <c r="AN10" s="412"/>
      <c r="AO10" s="412"/>
      <c r="AP10" s="370"/>
      <c r="AQ10" s="371"/>
      <c r="AR10" s="412"/>
      <c r="AS10" s="412"/>
      <c r="AT10" s="412"/>
      <c r="AU10" s="412"/>
      <c r="AV10" s="414"/>
      <c r="AW10" s="359"/>
      <c r="AX10" s="364"/>
      <c r="AY10" s="364"/>
      <c r="AZ10" s="355"/>
      <c r="BA10" s="359"/>
      <c r="BB10" s="364"/>
      <c r="BC10" s="364"/>
      <c r="BD10" s="355"/>
      <c r="BE10" s="364"/>
      <c r="BF10" s="364"/>
      <c r="BG10" s="355"/>
      <c r="BH10" s="364"/>
      <c r="BI10" s="364"/>
      <c r="BJ10" s="364"/>
      <c r="BK10" s="355"/>
      <c r="BL10" s="355"/>
      <c r="BM10" s="364"/>
      <c r="BN10" s="364"/>
      <c r="BO10" s="368"/>
      <c r="BP10" s="368"/>
      <c r="BQ10" s="368"/>
      <c r="BR10" s="368"/>
      <c r="BS10" s="368"/>
      <c r="BT10" s="368"/>
      <c r="BU10" s="368"/>
    </row>
    <row r="11" spans="1:73" s="354" customFormat="1" ht="38.1" customHeight="1">
      <c r="A11" s="522" t="s">
        <v>60</v>
      </c>
      <c r="B11" s="448" t="str">
        <f>A8</f>
        <v>Wall</v>
      </c>
      <c r="C11" s="475"/>
      <c r="D11" s="449"/>
      <c r="E11" s="451" t="s">
        <v>170</v>
      </c>
      <c r="F11" s="453"/>
      <c r="G11" s="445"/>
      <c r="H11" s="371"/>
      <c r="I11" s="463">
        <v>5</v>
      </c>
      <c r="J11" s="371"/>
      <c r="K11" s="466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  <c r="W11" s="376"/>
      <c r="X11" s="371"/>
      <c r="Y11" s="371"/>
      <c r="Z11" s="371"/>
      <c r="AA11" s="370"/>
      <c r="AB11" s="371"/>
      <c r="AC11" s="373"/>
      <c r="AD11" s="375"/>
      <c r="AE11" s="370"/>
      <c r="AF11" s="412"/>
      <c r="AG11" s="371"/>
      <c r="AH11" s="373"/>
      <c r="AI11" s="375"/>
      <c r="AJ11" s="370"/>
      <c r="AK11" s="370"/>
      <c r="AL11" s="370"/>
      <c r="AM11" s="373"/>
      <c r="AN11" s="371"/>
      <c r="AO11" s="416"/>
      <c r="AP11" s="370"/>
      <c r="AQ11" s="373"/>
      <c r="AR11" s="371"/>
      <c r="AS11" s="412"/>
      <c r="AT11" s="412"/>
      <c r="AU11" s="412"/>
      <c r="AV11" s="419"/>
      <c r="AW11" s="359"/>
      <c r="AX11" s="355"/>
      <c r="AY11" s="405"/>
      <c r="AZ11" s="362"/>
      <c r="BA11" s="360"/>
      <c r="BB11" s="355"/>
      <c r="BC11" s="405"/>
      <c r="BD11" s="362"/>
      <c r="BE11" s="364"/>
      <c r="BF11" s="364"/>
      <c r="BG11" s="356"/>
      <c r="BH11" s="355"/>
      <c r="BI11" s="364"/>
      <c r="BJ11" s="364"/>
      <c r="BK11" s="356"/>
      <c r="BL11" s="356"/>
      <c r="BM11" s="355"/>
      <c r="BN11" s="405"/>
      <c r="BO11" s="368"/>
      <c r="BP11" s="368"/>
      <c r="BQ11" s="368"/>
      <c r="BR11" s="368"/>
      <c r="BS11" s="368"/>
      <c r="BT11" s="368"/>
      <c r="BU11" s="368"/>
    </row>
    <row r="12" spans="1:73" s="354" customFormat="1" ht="38.1" customHeight="1">
      <c r="A12" s="520" t="s">
        <v>27</v>
      </c>
      <c r="B12" s="445" t="str">
        <f>A5</f>
        <v>Frazer</v>
      </c>
      <c r="C12" s="475"/>
      <c r="D12" s="449"/>
      <c r="E12" s="451"/>
      <c r="F12" s="458"/>
      <c r="G12" s="445" t="s">
        <v>143</v>
      </c>
      <c r="H12" s="373"/>
      <c r="I12" s="371"/>
      <c r="J12" s="371"/>
      <c r="K12" s="466"/>
      <c r="L12" s="469"/>
      <c r="M12" s="373"/>
      <c r="N12" s="371"/>
      <c r="O12" s="371"/>
      <c r="P12" s="371"/>
      <c r="Q12" s="371"/>
      <c r="R12" s="373"/>
      <c r="S12" s="371"/>
      <c r="T12" s="371"/>
      <c r="U12" s="371"/>
      <c r="V12" s="371"/>
      <c r="W12" s="373"/>
      <c r="X12" s="371"/>
      <c r="Y12" s="371"/>
      <c r="Z12" s="371"/>
      <c r="AA12" s="370"/>
      <c r="AB12" s="371"/>
      <c r="AC12" s="371"/>
      <c r="AD12" s="371"/>
      <c r="AE12" s="370"/>
      <c r="AF12" s="371"/>
      <c r="AG12" s="371"/>
      <c r="AH12" s="371"/>
      <c r="AI12" s="371"/>
      <c r="AJ12" s="370"/>
      <c r="AK12" s="370"/>
      <c r="AL12" s="370"/>
      <c r="AM12" s="373"/>
      <c r="AN12" s="412"/>
      <c r="AO12" s="371"/>
      <c r="AP12" s="370"/>
      <c r="AQ12" s="373"/>
      <c r="AR12" s="371"/>
      <c r="AS12" s="370"/>
      <c r="AT12" s="371"/>
      <c r="AU12" s="412"/>
      <c r="AV12" s="419"/>
      <c r="AW12" s="359"/>
      <c r="AX12" s="364"/>
      <c r="AY12" s="355"/>
      <c r="AZ12" s="364"/>
      <c r="BA12" s="360"/>
      <c r="BB12" s="364"/>
      <c r="BC12" s="355"/>
      <c r="BD12" s="364"/>
      <c r="BE12" s="364"/>
      <c r="BF12" s="364"/>
      <c r="BG12" s="356"/>
      <c r="BH12" s="355"/>
      <c r="BI12" s="355"/>
      <c r="BJ12" s="364"/>
      <c r="BK12" s="368"/>
      <c r="BL12" s="356"/>
      <c r="BM12" s="364"/>
      <c r="BN12" s="355"/>
      <c r="BO12" s="368"/>
      <c r="BP12" s="368"/>
      <c r="BQ12" s="368"/>
      <c r="BR12" s="368"/>
      <c r="BS12" s="368"/>
      <c r="BT12" s="368"/>
      <c r="BU12" s="368"/>
    </row>
    <row r="13" spans="1:73" s="354" customFormat="1" ht="38.1" customHeight="1">
      <c r="A13" s="521" t="s">
        <v>61</v>
      </c>
      <c r="B13" s="446"/>
      <c r="C13" s="475"/>
      <c r="D13" s="449"/>
      <c r="E13" s="449"/>
      <c r="F13" s="454"/>
      <c r="G13" s="445"/>
      <c r="H13" s="373"/>
      <c r="I13" s="371">
        <v>2</v>
      </c>
      <c r="J13" s="371"/>
      <c r="K13" s="466"/>
      <c r="L13" s="371"/>
      <c r="M13" s="373"/>
      <c r="N13" s="371"/>
      <c r="O13" s="371"/>
      <c r="P13" s="371"/>
      <c r="Q13" s="371"/>
      <c r="R13" s="373"/>
      <c r="S13" s="371"/>
      <c r="T13" s="371"/>
      <c r="U13" s="371"/>
      <c r="V13" s="371"/>
      <c r="W13" s="373"/>
      <c r="X13" s="371"/>
      <c r="Y13" s="371"/>
      <c r="Z13" s="371"/>
      <c r="AA13" s="370"/>
      <c r="AB13" s="415"/>
      <c r="AC13" s="371"/>
      <c r="AD13" s="371"/>
      <c r="AE13" s="370"/>
      <c r="AF13" s="371"/>
      <c r="AG13" s="415"/>
      <c r="AH13" s="371"/>
      <c r="AI13" s="371"/>
      <c r="AJ13" s="370"/>
      <c r="AK13" s="370"/>
      <c r="AL13" s="370"/>
      <c r="AM13" s="371"/>
      <c r="AN13" s="371"/>
      <c r="AO13" s="371"/>
      <c r="AP13" s="370"/>
      <c r="AQ13" s="371"/>
      <c r="AR13" s="373"/>
      <c r="AS13" s="370"/>
      <c r="AT13" s="371"/>
      <c r="AU13" s="412"/>
      <c r="AV13" s="414"/>
      <c r="AW13" s="359"/>
      <c r="AX13" s="355"/>
      <c r="AY13" s="355"/>
      <c r="AZ13" s="355"/>
      <c r="BA13" s="359"/>
      <c r="BB13" s="355"/>
      <c r="BC13" s="355"/>
      <c r="BD13" s="355"/>
      <c r="BE13" s="364"/>
      <c r="BF13" s="364"/>
      <c r="BG13" s="355"/>
      <c r="BH13" s="355"/>
      <c r="BI13" s="355"/>
      <c r="BJ13" s="364"/>
      <c r="BK13" s="364"/>
      <c r="BL13" s="355"/>
      <c r="BM13" s="355"/>
      <c r="BN13" s="355"/>
      <c r="BO13" s="368"/>
      <c r="BP13" s="368"/>
      <c r="BQ13" s="368"/>
      <c r="BR13" s="368"/>
      <c r="BS13" s="368"/>
      <c r="BT13" s="368"/>
      <c r="BU13" s="368"/>
    </row>
    <row r="14" spans="1:73" s="354" customFormat="1" ht="38.1" customHeight="1">
      <c r="A14" s="521" t="s">
        <v>62</v>
      </c>
      <c r="B14" s="452" t="s">
        <v>168</v>
      </c>
      <c r="C14" s="475"/>
      <c r="D14" s="449"/>
      <c r="E14" s="449"/>
      <c r="F14" s="454"/>
      <c r="G14" s="445"/>
      <c r="H14" s="371"/>
      <c r="I14" s="464"/>
      <c r="J14" s="373"/>
      <c r="K14" s="466"/>
      <c r="L14" s="371"/>
      <c r="M14" s="371"/>
      <c r="N14" s="371"/>
      <c r="O14" s="419"/>
      <c r="P14" s="371"/>
      <c r="Q14" s="371"/>
      <c r="R14" s="371"/>
      <c r="S14" s="371"/>
      <c r="T14" s="419"/>
      <c r="U14" s="371"/>
      <c r="V14" s="371"/>
      <c r="W14" s="371"/>
      <c r="X14" s="371"/>
      <c r="Y14" s="419"/>
      <c r="Z14" s="371"/>
      <c r="AA14" s="370"/>
      <c r="AB14" s="373"/>
      <c r="AC14" s="371"/>
      <c r="AD14" s="371"/>
      <c r="AE14" s="370"/>
      <c r="AF14" s="371"/>
      <c r="AG14" s="373"/>
      <c r="AH14" s="371"/>
      <c r="AI14" s="371"/>
      <c r="AJ14" s="370"/>
      <c r="AK14" s="370"/>
      <c r="AL14" s="370"/>
      <c r="AM14" s="371"/>
      <c r="AN14" s="373"/>
      <c r="AO14" s="371"/>
      <c r="AP14" s="370"/>
      <c r="AQ14" s="371"/>
      <c r="AR14" s="373"/>
      <c r="AS14" s="370"/>
      <c r="AT14" s="371"/>
      <c r="AU14" s="412"/>
      <c r="AV14" s="414"/>
      <c r="AW14" s="359"/>
      <c r="AX14" s="356"/>
      <c r="AY14" s="355"/>
      <c r="AZ14" s="355"/>
      <c r="BA14" s="359"/>
      <c r="BB14" s="356"/>
      <c r="BC14" s="355"/>
      <c r="BD14" s="355"/>
      <c r="BE14" s="364"/>
      <c r="BF14" s="364"/>
      <c r="BG14" s="355"/>
      <c r="BH14" s="356"/>
      <c r="BI14" s="355"/>
      <c r="BJ14" s="364"/>
      <c r="BK14" s="355"/>
      <c r="BL14" s="355"/>
      <c r="BM14" s="356"/>
      <c r="BN14" s="355"/>
      <c r="BO14" s="368"/>
      <c r="BP14" s="368"/>
      <c r="BQ14" s="368"/>
      <c r="BR14" s="368"/>
      <c r="BS14" s="368"/>
      <c r="BT14" s="368"/>
      <c r="BU14" s="368"/>
    </row>
    <row r="15" spans="1:73" s="354" customFormat="1" ht="38.1" customHeight="1">
      <c r="A15" s="521" t="s">
        <v>63</v>
      </c>
      <c r="B15" s="447" t="s">
        <v>144</v>
      </c>
      <c r="C15" s="477"/>
      <c r="D15" s="455"/>
      <c r="E15" s="455"/>
      <c r="F15" s="454"/>
      <c r="G15" s="445"/>
      <c r="H15" s="371"/>
      <c r="I15" s="463">
        <v>7</v>
      </c>
      <c r="J15" s="464"/>
      <c r="K15" s="468"/>
      <c r="L15" s="373"/>
      <c r="M15" s="371"/>
      <c r="N15" s="371"/>
      <c r="O15" s="371"/>
      <c r="P15" s="373"/>
      <c r="Q15" s="373"/>
      <c r="R15" s="371"/>
      <c r="S15" s="371"/>
      <c r="T15" s="371"/>
      <c r="U15" s="373"/>
      <c r="V15" s="373"/>
      <c r="W15" s="371"/>
      <c r="X15" s="371"/>
      <c r="Y15" s="371"/>
      <c r="Z15" s="373"/>
      <c r="AA15" s="370"/>
      <c r="AB15" s="371"/>
      <c r="AC15" s="371"/>
      <c r="AD15" s="371"/>
      <c r="AE15" s="370"/>
      <c r="AF15" s="373"/>
      <c r="AG15" s="371"/>
      <c r="AH15" s="371"/>
      <c r="AI15" s="371"/>
      <c r="AJ15" s="370"/>
      <c r="AK15" s="370"/>
      <c r="AL15" s="370"/>
      <c r="AM15" s="371"/>
      <c r="AN15" s="373"/>
      <c r="AO15" s="375"/>
      <c r="AP15" s="370"/>
      <c r="AQ15" s="420"/>
      <c r="AR15" s="371"/>
      <c r="AS15" s="370"/>
      <c r="AT15" s="375"/>
      <c r="AU15" s="412"/>
      <c r="AV15" s="414"/>
      <c r="AW15" s="359"/>
      <c r="AX15" s="356"/>
      <c r="AY15" s="358"/>
      <c r="AZ15" s="355"/>
      <c r="BA15" s="359"/>
      <c r="BB15" s="356"/>
      <c r="BC15" s="358"/>
      <c r="BD15" s="355"/>
      <c r="BE15" s="364"/>
      <c r="BF15" s="364"/>
      <c r="BG15" s="355"/>
      <c r="BH15" s="356"/>
      <c r="BI15" s="358"/>
      <c r="BJ15" s="364"/>
      <c r="BK15" s="355"/>
      <c r="BL15" s="355"/>
      <c r="BM15" s="356"/>
      <c r="BN15" s="358"/>
      <c r="BO15" s="368"/>
      <c r="BP15" s="368"/>
      <c r="BQ15" s="368"/>
      <c r="BR15" s="368"/>
      <c r="BS15" s="368"/>
      <c r="BT15" s="368"/>
      <c r="BU15" s="368"/>
    </row>
    <row r="16" spans="1:73" s="354" customFormat="1" ht="38.1" customHeight="1">
      <c r="A16" s="521" t="s">
        <v>64</v>
      </c>
      <c r="B16" s="448" t="str">
        <f>A10</f>
        <v>White</v>
      </c>
      <c r="C16" s="478" t="s">
        <v>171</v>
      </c>
      <c r="D16" s="449"/>
      <c r="E16" s="449"/>
      <c r="F16" s="449"/>
      <c r="G16" s="445"/>
      <c r="H16" s="371"/>
      <c r="I16" s="371"/>
      <c r="J16" s="466"/>
      <c r="K16" s="463"/>
      <c r="L16" s="373"/>
      <c r="M16" s="371"/>
      <c r="N16" s="371"/>
      <c r="O16" s="371"/>
      <c r="P16" s="371"/>
      <c r="Q16" s="373"/>
      <c r="R16" s="371"/>
      <c r="S16" s="371"/>
      <c r="T16" s="371"/>
      <c r="U16" s="371"/>
      <c r="V16" s="373"/>
      <c r="W16" s="371"/>
      <c r="X16" s="371"/>
      <c r="Y16" s="371"/>
      <c r="Z16" s="371"/>
      <c r="AA16" s="370"/>
      <c r="AB16" s="421"/>
      <c r="AC16" s="421"/>
      <c r="AD16" s="421"/>
      <c r="AE16" s="370"/>
      <c r="AF16" s="373"/>
      <c r="AG16" s="421"/>
      <c r="AH16" s="421"/>
      <c r="AI16" s="421"/>
      <c r="AJ16" s="370"/>
      <c r="AK16" s="370"/>
      <c r="AL16" s="370"/>
      <c r="AM16" s="371"/>
      <c r="AN16" s="371"/>
      <c r="AO16" s="371"/>
      <c r="AP16" s="370"/>
      <c r="AQ16" s="420"/>
      <c r="AR16" s="371"/>
      <c r="AS16" s="371"/>
      <c r="AT16" s="371"/>
      <c r="AU16" s="412"/>
      <c r="AV16" s="422"/>
      <c r="AW16" s="359"/>
      <c r="AX16" s="355"/>
      <c r="AY16" s="355"/>
      <c r="AZ16" s="360"/>
      <c r="BA16" s="359"/>
      <c r="BB16" s="355"/>
      <c r="BC16" s="355"/>
      <c r="BD16" s="360"/>
      <c r="BE16" s="364"/>
      <c r="BF16" s="364"/>
      <c r="BG16" s="355"/>
      <c r="BH16" s="355"/>
      <c r="BI16" s="355"/>
      <c r="BJ16" s="364"/>
      <c r="BK16" s="355"/>
      <c r="BL16" s="355"/>
      <c r="BM16" s="355"/>
      <c r="BN16" s="355"/>
      <c r="BO16" s="368"/>
      <c r="BP16" s="368"/>
      <c r="BQ16" s="368"/>
      <c r="BR16" s="368"/>
      <c r="BS16" s="368"/>
      <c r="BT16" s="368"/>
      <c r="BU16" s="368"/>
    </row>
    <row r="17" spans="1:73" s="354" customFormat="1" ht="38.1" customHeight="1">
      <c r="A17" s="521" t="s">
        <v>65</v>
      </c>
      <c r="B17" s="445" t="str">
        <f>A6</f>
        <v>Fair</v>
      </c>
      <c r="C17" s="479" t="s">
        <v>39</v>
      </c>
      <c r="D17" s="449"/>
      <c r="E17" s="449"/>
      <c r="F17" s="445"/>
      <c r="G17" s="445"/>
      <c r="H17" s="371"/>
      <c r="I17" s="472">
        <v>3</v>
      </c>
      <c r="J17" s="466"/>
      <c r="K17" s="371"/>
      <c r="L17" s="371"/>
      <c r="M17" s="371"/>
      <c r="N17" s="371"/>
      <c r="O17" s="371"/>
      <c r="P17" s="371"/>
      <c r="Q17" s="371"/>
      <c r="R17" s="371"/>
      <c r="S17" s="371"/>
      <c r="T17" s="371"/>
      <c r="U17" s="371"/>
      <c r="V17" s="371"/>
      <c r="W17" s="371"/>
      <c r="X17" s="371"/>
      <c r="Y17" s="371"/>
      <c r="Z17" s="371"/>
      <c r="AA17" s="370"/>
      <c r="AB17" s="375"/>
      <c r="AC17" s="375"/>
      <c r="AD17" s="375"/>
      <c r="AE17" s="370"/>
      <c r="AF17" s="371"/>
      <c r="AG17" s="375"/>
      <c r="AH17" s="375"/>
      <c r="AI17" s="375"/>
      <c r="AJ17" s="370"/>
      <c r="AK17" s="370"/>
      <c r="AL17" s="370"/>
      <c r="AM17" s="373"/>
      <c r="AN17" s="371"/>
      <c r="AO17" s="371"/>
      <c r="AP17" s="370"/>
      <c r="AQ17" s="420"/>
      <c r="AR17" s="373"/>
      <c r="AS17" s="371"/>
      <c r="AT17" s="371"/>
      <c r="AU17" s="412"/>
      <c r="AV17" s="419"/>
      <c r="AW17" s="360"/>
      <c r="AX17" s="355"/>
      <c r="AY17" s="355"/>
      <c r="AZ17" s="355"/>
      <c r="BA17" s="360"/>
      <c r="BB17" s="355"/>
      <c r="BC17" s="355"/>
      <c r="BD17" s="355"/>
      <c r="BE17" s="364"/>
      <c r="BF17" s="364"/>
      <c r="BG17" s="356"/>
      <c r="BH17" s="355"/>
      <c r="BI17" s="355"/>
      <c r="BJ17" s="364"/>
      <c r="BK17" s="356"/>
      <c r="BL17" s="356"/>
      <c r="BM17" s="355"/>
      <c r="BN17" s="355"/>
      <c r="BO17" s="368"/>
      <c r="BP17" s="368"/>
      <c r="BQ17" s="368"/>
      <c r="BR17" s="368"/>
      <c r="BS17" s="368"/>
      <c r="BT17" s="368"/>
      <c r="BU17" s="368"/>
    </row>
    <row r="18" spans="1:73" s="354" customFormat="1" ht="38.1" customHeight="1">
      <c r="A18" s="521" t="s">
        <v>66</v>
      </c>
      <c r="B18" s="446"/>
      <c r="C18" s="478"/>
      <c r="D18" s="449"/>
      <c r="E18" s="449"/>
      <c r="F18" s="445"/>
      <c r="G18" s="445"/>
      <c r="H18" s="371"/>
      <c r="I18" s="465"/>
      <c r="J18" s="463"/>
      <c r="K18" s="423"/>
      <c r="L18" s="371"/>
      <c r="M18" s="371"/>
      <c r="N18" s="421"/>
      <c r="O18" s="371"/>
      <c r="P18" s="371"/>
      <c r="Q18" s="371"/>
      <c r="R18" s="371"/>
      <c r="S18" s="421"/>
      <c r="T18" s="371"/>
      <c r="U18" s="371"/>
      <c r="V18" s="371"/>
      <c r="W18" s="371"/>
      <c r="X18" s="421"/>
      <c r="Y18" s="371"/>
      <c r="Z18" s="371"/>
      <c r="AA18" s="370"/>
      <c r="AB18" s="412"/>
      <c r="AC18" s="412"/>
      <c r="AD18" s="412"/>
      <c r="AE18" s="370"/>
      <c r="AF18" s="371"/>
      <c r="AG18" s="412"/>
      <c r="AH18" s="412"/>
      <c r="AI18" s="412"/>
      <c r="AJ18" s="370"/>
      <c r="AK18" s="370"/>
      <c r="AL18" s="370"/>
      <c r="AM18" s="373"/>
      <c r="AN18" s="371"/>
      <c r="AO18" s="371"/>
      <c r="AP18" s="370"/>
      <c r="AQ18" s="420"/>
      <c r="AR18" s="373"/>
      <c r="AS18" s="371"/>
      <c r="AT18" s="412"/>
      <c r="AU18" s="412"/>
      <c r="AV18" s="419"/>
      <c r="AW18" s="360"/>
      <c r="AX18" s="355"/>
      <c r="AY18" s="355"/>
      <c r="AZ18" s="355"/>
      <c r="BA18" s="360"/>
      <c r="BB18" s="355"/>
      <c r="BC18" s="355"/>
      <c r="BD18" s="355"/>
      <c r="BE18" s="364"/>
      <c r="BF18" s="364"/>
      <c r="BG18" s="356"/>
      <c r="BH18" s="355"/>
      <c r="BI18" s="355"/>
      <c r="BJ18" s="364"/>
      <c r="BK18" s="356"/>
      <c r="BL18" s="356"/>
      <c r="BM18" s="355"/>
      <c r="BN18" s="355"/>
      <c r="BO18" s="368"/>
      <c r="BP18" s="368"/>
      <c r="BQ18" s="368"/>
      <c r="BR18" s="368"/>
      <c r="BS18" s="368"/>
      <c r="BT18" s="368"/>
      <c r="BU18" s="368"/>
    </row>
    <row r="19" spans="1:73" s="354" customFormat="1" ht="38.1" customHeight="1">
      <c r="A19" s="522" t="s">
        <v>67</v>
      </c>
      <c r="B19" s="452" t="s">
        <v>172</v>
      </c>
      <c r="C19" s="481"/>
      <c r="D19" s="449"/>
      <c r="E19" s="445"/>
      <c r="F19" s="445"/>
      <c r="G19" s="445"/>
      <c r="H19" s="371"/>
      <c r="I19" s="463">
        <v>6</v>
      </c>
      <c r="J19" s="371"/>
      <c r="K19" s="375"/>
      <c r="L19" s="371"/>
      <c r="M19" s="371"/>
      <c r="N19" s="371"/>
      <c r="O19" s="371"/>
      <c r="P19" s="375"/>
      <c r="Q19" s="371"/>
      <c r="R19" s="371"/>
      <c r="S19" s="371"/>
      <c r="T19" s="371"/>
      <c r="U19" s="375"/>
      <c r="V19" s="371"/>
      <c r="W19" s="371"/>
      <c r="X19" s="371"/>
      <c r="Y19" s="371"/>
      <c r="Z19" s="375"/>
      <c r="AA19" s="370"/>
      <c r="AB19" s="412"/>
      <c r="AC19" s="357"/>
      <c r="AD19" s="412"/>
      <c r="AE19" s="370"/>
      <c r="AF19" s="371"/>
      <c r="AG19" s="412"/>
      <c r="AH19" s="402"/>
      <c r="AI19" s="412"/>
      <c r="AJ19" s="370"/>
      <c r="AK19" s="370"/>
      <c r="AL19" s="370"/>
      <c r="AM19" s="371"/>
      <c r="AN19" s="371"/>
      <c r="AO19" s="371"/>
      <c r="AP19" s="370"/>
      <c r="AQ19" s="420"/>
      <c r="AR19" s="371"/>
      <c r="AS19" s="371"/>
      <c r="AT19" s="412"/>
      <c r="AU19" s="412"/>
      <c r="AV19" s="414"/>
      <c r="AW19" s="359"/>
      <c r="AX19" s="355"/>
      <c r="AY19" s="355"/>
      <c r="AZ19" s="355"/>
      <c r="BA19" s="359"/>
      <c r="BB19" s="355"/>
      <c r="BC19" s="355"/>
      <c r="BD19" s="355"/>
      <c r="BE19" s="364"/>
      <c r="BF19" s="364"/>
      <c r="BG19" s="355"/>
      <c r="BH19" s="355"/>
      <c r="BI19" s="355"/>
      <c r="BJ19" s="364"/>
      <c r="BK19" s="355"/>
      <c r="BL19" s="355"/>
      <c r="BM19" s="355"/>
      <c r="BN19" s="355"/>
      <c r="BO19" s="368"/>
      <c r="BP19" s="368"/>
      <c r="BQ19" s="368"/>
      <c r="BR19" s="368"/>
      <c r="BS19" s="368"/>
      <c r="BT19" s="368"/>
      <c r="BU19" s="368"/>
    </row>
    <row r="20" spans="1:73" s="354" customFormat="1" ht="38.1" customHeight="1">
      <c r="A20" s="521" t="s">
        <v>68</v>
      </c>
      <c r="B20" s="447" t="s">
        <v>144</v>
      </c>
      <c r="C20" s="475"/>
      <c r="D20" s="445"/>
      <c r="E20" s="446" t="s">
        <v>173</v>
      </c>
      <c r="F20" s="458"/>
      <c r="G20" s="445" t="s">
        <v>145</v>
      </c>
      <c r="H20" s="371"/>
      <c r="I20" s="371"/>
      <c r="J20" s="371"/>
      <c r="K20" s="371"/>
      <c r="L20" s="371"/>
      <c r="M20" s="371"/>
      <c r="N20" s="371"/>
      <c r="O20" s="371"/>
      <c r="P20" s="371"/>
      <c r="Q20" s="371"/>
      <c r="R20" s="371"/>
      <c r="S20" s="371"/>
      <c r="T20" s="371"/>
      <c r="U20" s="371"/>
      <c r="V20" s="376"/>
      <c r="W20" s="371"/>
      <c r="X20" s="371"/>
      <c r="Y20" s="371"/>
      <c r="Z20" s="371"/>
      <c r="AA20" s="370"/>
      <c r="AB20" s="370"/>
      <c r="AC20" s="370"/>
      <c r="AD20" s="370"/>
      <c r="AE20" s="370"/>
      <c r="AF20" s="371"/>
      <c r="AG20" s="370"/>
      <c r="AH20" s="370"/>
      <c r="AI20" s="370"/>
      <c r="AJ20" s="370"/>
      <c r="AK20" s="370"/>
      <c r="AL20" s="370"/>
      <c r="AM20" s="371"/>
      <c r="AN20" s="371"/>
      <c r="AO20" s="371"/>
      <c r="AP20" s="370"/>
      <c r="AQ20" s="420"/>
      <c r="AR20" s="412"/>
      <c r="AS20" s="412"/>
      <c r="AT20" s="412"/>
      <c r="AU20" s="412"/>
      <c r="AV20" s="414"/>
      <c r="AW20" s="359"/>
      <c r="AX20" s="355"/>
      <c r="AY20" s="355"/>
      <c r="AZ20" s="355"/>
      <c r="BA20" s="359"/>
      <c r="BB20" s="355"/>
      <c r="BC20" s="355"/>
      <c r="BD20" s="355"/>
      <c r="BE20" s="364"/>
      <c r="BF20" s="364"/>
      <c r="BG20" s="364"/>
      <c r="BH20" s="364"/>
      <c r="BI20" s="364"/>
      <c r="BJ20" s="364"/>
      <c r="BK20" s="355"/>
      <c r="BL20" s="355"/>
      <c r="BM20" s="355"/>
      <c r="BN20" s="355"/>
      <c r="BO20" s="368"/>
      <c r="BP20" s="368"/>
      <c r="BQ20" s="368"/>
      <c r="BR20" s="368"/>
      <c r="BS20" s="368"/>
      <c r="BT20" s="368"/>
      <c r="BU20" s="368"/>
    </row>
    <row r="21" spans="1:73" s="354" customFormat="1" ht="38.1" customHeight="1">
      <c r="A21" s="521" t="s">
        <v>69</v>
      </c>
      <c r="B21" s="448" t="str">
        <f>A9</f>
        <v>Enockson</v>
      </c>
      <c r="C21" s="475"/>
      <c r="D21" s="445"/>
      <c r="E21" s="447">
        <v>204</v>
      </c>
      <c r="F21" s="458"/>
      <c r="G21" s="445" t="s">
        <v>146</v>
      </c>
      <c r="H21" s="371"/>
      <c r="I21" s="494"/>
      <c r="J21" s="495" t="s">
        <v>189</v>
      </c>
      <c r="K21" s="496"/>
      <c r="L21" s="496"/>
      <c r="M21" s="371"/>
      <c r="N21" s="371"/>
      <c r="O21" s="371"/>
      <c r="P21" s="421"/>
      <c r="Q21" s="373"/>
      <c r="R21" s="371"/>
      <c r="S21" s="371"/>
      <c r="T21" s="371"/>
      <c r="U21" s="421"/>
      <c r="V21" s="373"/>
      <c r="W21" s="371"/>
      <c r="X21" s="371"/>
      <c r="Y21" s="371"/>
      <c r="Z21" s="421"/>
      <c r="AA21" s="370"/>
      <c r="AB21" s="371"/>
      <c r="AC21" s="371"/>
      <c r="AD21" s="370"/>
      <c r="AE21" s="370"/>
      <c r="AF21" s="373"/>
      <c r="AG21" s="371"/>
      <c r="AH21" s="371"/>
      <c r="AI21" s="370"/>
      <c r="AJ21" s="370"/>
      <c r="AK21" s="370"/>
      <c r="AL21" s="370"/>
      <c r="AM21" s="371"/>
      <c r="AN21" s="371"/>
      <c r="AO21" s="371"/>
      <c r="AP21" s="370"/>
      <c r="AQ21" s="412"/>
      <c r="AR21" s="412"/>
      <c r="AS21" s="412"/>
      <c r="AT21" s="412"/>
      <c r="AU21" s="412"/>
      <c r="AV21" s="414"/>
      <c r="AW21" s="359"/>
      <c r="AX21" s="355"/>
      <c r="AY21" s="355"/>
      <c r="AZ21" s="355"/>
      <c r="BA21" s="359"/>
      <c r="BB21" s="355"/>
      <c r="BC21" s="355"/>
      <c r="BD21" s="355"/>
      <c r="BE21" s="364"/>
      <c r="BF21" s="364"/>
      <c r="BG21" s="364"/>
      <c r="BH21" s="364"/>
      <c r="BI21" s="364"/>
      <c r="BJ21" s="364"/>
      <c r="BK21" s="355"/>
      <c r="BL21" s="355"/>
      <c r="BM21" s="355"/>
      <c r="BN21" s="355"/>
      <c r="BO21" s="368"/>
      <c r="BP21" s="368"/>
      <c r="BQ21" s="368"/>
      <c r="BR21" s="368"/>
      <c r="BS21" s="368"/>
      <c r="BT21" s="368"/>
      <c r="BU21" s="368"/>
    </row>
    <row r="22" spans="1:73" s="354" customFormat="1" ht="38.1" customHeight="1">
      <c r="A22" s="521" t="s">
        <v>70</v>
      </c>
      <c r="B22" s="445"/>
      <c r="C22" s="475"/>
      <c r="D22" s="445"/>
      <c r="E22" s="448"/>
      <c r="F22" s="445"/>
      <c r="G22" s="445"/>
      <c r="H22" s="371"/>
      <c r="I22" s="497" t="s">
        <v>121</v>
      </c>
      <c r="J22" s="496"/>
      <c r="K22" s="496"/>
      <c r="L22" s="496"/>
      <c r="M22"/>
      <c r="N22"/>
      <c r="O22"/>
      <c r="P22" s="375"/>
      <c r="Q22" s="373"/>
      <c r="R22" s="371"/>
      <c r="S22" s="371"/>
      <c r="T22" s="371"/>
      <c r="U22" s="375"/>
      <c r="V22" s="373"/>
      <c r="W22" s="374"/>
      <c r="X22" s="371"/>
      <c r="Y22" s="371"/>
      <c r="Z22" s="375"/>
      <c r="AA22" s="370"/>
      <c r="AB22" s="371"/>
      <c r="AC22" s="371"/>
      <c r="AD22" s="371"/>
      <c r="AE22" s="370"/>
      <c r="AF22" s="370"/>
      <c r="AG22" s="371"/>
      <c r="AH22" s="371"/>
      <c r="AI22" s="371"/>
      <c r="AJ22" s="370"/>
      <c r="AK22" s="370"/>
      <c r="AL22" s="370"/>
      <c r="AM22" s="371"/>
      <c r="AN22" s="371"/>
      <c r="AO22" s="375"/>
      <c r="AP22" s="370"/>
      <c r="AQ22" s="412"/>
      <c r="AR22" s="412"/>
      <c r="AS22" s="412"/>
      <c r="AT22" s="412"/>
      <c r="AU22" s="412"/>
      <c r="AV22" s="414"/>
      <c r="AW22" s="359"/>
      <c r="AX22" s="355"/>
      <c r="AY22" s="355"/>
      <c r="AZ22" s="355"/>
      <c r="BA22" s="359"/>
      <c r="BB22" s="355"/>
      <c r="BC22" s="355"/>
      <c r="BD22" s="355"/>
      <c r="BE22" s="364"/>
      <c r="BF22" s="364"/>
      <c r="BG22" s="364"/>
      <c r="BH22" s="364"/>
      <c r="BI22" s="364"/>
      <c r="BJ22" s="364"/>
      <c r="BK22" s="355"/>
      <c r="BL22" s="355"/>
      <c r="BM22" s="355"/>
      <c r="BN22" s="358"/>
      <c r="BO22" s="368"/>
      <c r="BP22" s="368"/>
      <c r="BQ22" s="368"/>
      <c r="BR22" s="368"/>
      <c r="BS22" s="368"/>
      <c r="BT22" s="368"/>
      <c r="BU22" s="368"/>
    </row>
    <row r="23" spans="1:73" s="354" customFormat="1" ht="38.1" customHeight="1">
      <c r="A23" s="521" t="s">
        <v>71</v>
      </c>
      <c r="B23" s="449"/>
      <c r="C23" s="482" t="s">
        <v>173</v>
      </c>
      <c r="D23" s="445"/>
      <c r="E23" s="445"/>
      <c r="F23" s="445"/>
      <c r="G23" s="445"/>
      <c r="H23" s="374"/>
      <c r="I23" s="497" t="s">
        <v>122</v>
      </c>
      <c r="J23" s="498"/>
      <c r="K23" s="498"/>
      <c r="L23" s="496"/>
      <c r="M23" s="473"/>
      <c r="N23" s="473"/>
      <c r="O23" s="473"/>
      <c r="P23" s="412"/>
      <c r="Q23" s="371"/>
      <c r="R23" s="374"/>
      <c r="S23" s="371"/>
      <c r="T23" s="371"/>
      <c r="U23" s="412"/>
      <c r="V23" s="371"/>
      <c r="W23" s="374"/>
      <c r="X23" s="371"/>
      <c r="Y23" s="371"/>
      <c r="Z23" s="412"/>
      <c r="AA23" s="370"/>
      <c r="AB23" s="424"/>
      <c r="AC23" s="371"/>
      <c r="AD23" s="371"/>
      <c r="AE23" s="370"/>
      <c r="AF23" s="371"/>
      <c r="AG23" s="424"/>
      <c r="AH23" s="371"/>
      <c r="AI23" s="371"/>
      <c r="AJ23" s="370"/>
      <c r="AK23" s="370"/>
      <c r="AL23" s="370"/>
      <c r="AM23" s="373"/>
      <c r="AN23" s="371"/>
      <c r="AO23" s="371"/>
      <c r="AP23" s="370"/>
      <c r="AQ23" s="412"/>
      <c r="AR23" s="412"/>
      <c r="AS23" s="412"/>
      <c r="AT23" s="412"/>
      <c r="AU23" s="412"/>
      <c r="AV23" s="419"/>
      <c r="AW23" s="360"/>
      <c r="AX23" s="355"/>
      <c r="AY23" s="355"/>
      <c r="AZ23" s="355"/>
      <c r="BA23" s="360"/>
      <c r="BB23" s="355"/>
      <c r="BC23" s="355"/>
      <c r="BD23" s="355"/>
      <c r="BE23" s="364"/>
      <c r="BF23" s="364"/>
      <c r="BG23" s="364"/>
      <c r="BH23" s="364"/>
      <c r="BI23" s="364"/>
      <c r="BJ23" s="364"/>
      <c r="BK23" s="356"/>
      <c r="BL23" s="356"/>
      <c r="BM23" s="355"/>
      <c r="BN23" s="355"/>
      <c r="BO23" s="368"/>
      <c r="BP23" s="368"/>
      <c r="BQ23" s="368"/>
      <c r="BR23" s="368"/>
      <c r="BS23" s="368"/>
      <c r="BT23" s="368"/>
      <c r="BU23" s="368"/>
    </row>
    <row r="24" spans="1:73" s="354" customFormat="1" ht="38.1" customHeight="1">
      <c r="A24" s="521" t="s">
        <v>72</v>
      </c>
      <c r="B24" s="456"/>
      <c r="C24" s="479" t="s">
        <v>147</v>
      </c>
      <c r="D24" s="449"/>
      <c r="E24" s="445"/>
      <c r="F24" s="445"/>
      <c r="G24" s="445"/>
      <c r="H24" s="373"/>
      <c r="I24" s="497" t="s">
        <v>123</v>
      </c>
      <c r="J24" s="498"/>
      <c r="K24" s="498"/>
      <c r="L24" s="496"/>
      <c r="M24" s="473"/>
      <c r="N24" s="473"/>
      <c r="O24" s="473"/>
      <c r="P24" s="412"/>
      <c r="Q24" s="371"/>
      <c r="R24" s="373"/>
      <c r="S24" s="371"/>
      <c r="T24" s="371"/>
      <c r="U24" s="412"/>
      <c r="V24" s="371"/>
      <c r="W24" s="373"/>
      <c r="X24" s="371"/>
      <c r="Y24" s="371"/>
      <c r="Z24" s="412"/>
      <c r="AA24" s="370"/>
      <c r="AB24" s="373"/>
      <c r="AC24" s="371"/>
      <c r="AD24" s="371"/>
      <c r="AE24" s="370"/>
      <c r="AF24" s="425"/>
      <c r="AG24" s="373"/>
      <c r="AH24" s="371"/>
      <c r="AI24" s="371"/>
      <c r="AJ24" s="370"/>
      <c r="AK24" s="370"/>
      <c r="AL24" s="370"/>
      <c r="AM24" s="373"/>
      <c r="AN24" s="371"/>
      <c r="AO24" s="371"/>
      <c r="AP24" s="370"/>
      <c r="AQ24" s="412"/>
      <c r="AR24" s="412"/>
      <c r="AS24" s="412"/>
      <c r="AT24" s="412"/>
      <c r="AU24" s="412"/>
      <c r="AV24" s="426"/>
      <c r="AW24" s="360"/>
      <c r="AX24" s="355"/>
      <c r="AY24" s="355"/>
      <c r="AZ24" s="355"/>
      <c r="BA24" s="360"/>
      <c r="BB24" s="355"/>
      <c r="BC24" s="355"/>
      <c r="BD24" s="355"/>
      <c r="BE24" s="364"/>
      <c r="BF24" s="364"/>
      <c r="BG24" s="364"/>
      <c r="BH24" s="364"/>
      <c r="BI24" s="364"/>
      <c r="BJ24" s="364"/>
      <c r="BK24" s="368"/>
      <c r="BL24" s="356"/>
      <c r="BM24" s="355"/>
      <c r="BN24" s="355"/>
      <c r="BO24" s="368"/>
      <c r="BP24" s="368"/>
      <c r="BQ24" s="368"/>
      <c r="BR24" s="368"/>
      <c r="BS24" s="368"/>
      <c r="BT24" s="368"/>
      <c r="BU24" s="368"/>
    </row>
    <row r="25" spans="1:73" s="354" customFormat="1" ht="38.1" customHeight="1">
      <c r="A25" s="521" t="s">
        <v>73</v>
      </c>
      <c r="B25" s="457" t="s">
        <v>148</v>
      </c>
      <c r="C25" s="483"/>
      <c r="D25" s="453"/>
      <c r="E25" s="446"/>
      <c r="F25" s="458"/>
      <c r="G25" s="445" t="s">
        <v>149</v>
      </c>
      <c r="H25" s="373"/>
      <c r="I25" s="499"/>
      <c r="J25" s="495"/>
      <c r="K25" s="495"/>
      <c r="L25" s="495"/>
      <c r="M25" s="473"/>
      <c r="N25" s="473"/>
      <c r="O25" s="473"/>
      <c r="P25" s="412"/>
      <c r="Q25" s="371"/>
      <c r="R25" s="373"/>
      <c r="S25" s="371"/>
      <c r="T25" s="371"/>
      <c r="U25" s="412"/>
      <c r="V25" s="371"/>
      <c r="W25" s="373"/>
      <c r="X25" s="371"/>
      <c r="Y25" s="371"/>
      <c r="Z25" s="412"/>
      <c r="AA25" s="370"/>
      <c r="AB25" s="371"/>
      <c r="AC25" s="374"/>
      <c r="AD25" s="371"/>
      <c r="AE25" s="370"/>
      <c r="AF25" s="371"/>
      <c r="AG25" s="371"/>
      <c r="AH25" s="374"/>
      <c r="AI25" s="371"/>
      <c r="AJ25" s="370"/>
      <c r="AK25" s="370"/>
      <c r="AL25" s="370"/>
      <c r="AM25" s="371"/>
      <c r="AN25" s="374"/>
      <c r="AO25" s="371"/>
      <c r="AP25" s="370"/>
      <c r="AQ25" s="412"/>
      <c r="AR25" s="412"/>
      <c r="AS25" s="412"/>
      <c r="AT25" s="412"/>
      <c r="AU25" s="412"/>
      <c r="AV25" s="414"/>
      <c r="AW25" s="359"/>
      <c r="AX25" s="366"/>
      <c r="AY25" s="355"/>
      <c r="AZ25" s="355"/>
      <c r="BA25" s="359"/>
      <c r="BB25" s="366"/>
      <c r="BC25" s="355"/>
      <c r="BD25" s="355"/>
      <c r="BE25" s="364"/>
      <c r="BF25" s="364"/>
      <c r="BG25" s="364"/>
      <c r="BH25" s="364"/>
      <c r="BI25" s="364"/>
      <c r="BJ25" s="364"/>
      <c r="BK25" s="355"/>
      <c r="BL25" s="355"/>
      <c r="BM25" s="366"/>
      <c r="BN25" s="355"/>
      <c r="BO25" s="368"/>
      <c r="BP25" s="368"/>
      <c r="BQ25" s="368"/>
      <c r="BR25" s="368"/>
      <c r="BS25" s="368"/>
      <c r="BT25" s="368"/>
      <c r="BU25" s="368"/>
    </row>
    <row r="26" spans="1:73" s="354" customFormat="1" ht="38.1" customHeight="1">
      <c r="A26" s="521" t="s">
        <v>74</v>
      </c>
      <c r="B26" s="456"/>
      <c r="C26" s="475"/>
      <c r="D26" s="449"/>
      <c r="E26" s="451" t="s">
        <v>174</v>
      </c>
      <c r="F26" s="458"/>
      <c r="G26" s="445" t="s">
        <v>150</v>
      </c>
      <c r="H26" s="371"/>
      <c r="I26" s="497" t="s">
        <v>124</v>
      </c>
      <c r="J26" s="495"/>
      <c r="K26" s="495"/>
      <c r="L26" s="495"/>
      <c r="M26" s="473"/>
      <c r="N26" s="473"/>
      <c r="O26" s="473"/>
      <c r="P26" s="412"/>
      <c r="Q26" s="371"/>
      <c r="R26" s="371"/>
      <c r="S26" s="371"/>
      <c r="T26" s="371"/>
      <c r="U26" s="412"/>
      <c r="V26" s="376"/>
      <c r="W26" s="371"/>
      <c r="X26" s="371"/>
      <c r="Y26" s="371"/>
      <c r="Z26" s="412"/>
      <c r="AA26" s="370"/>
      <c r="AB26" s="371"/>
      <c r="AC26" s="373"/>
      <c r="AD26" s="371"/>
      <c r="AE26" s="370"/>
      <c r="AF26" s="371"/>
      <c r="AG26" s="371"/>
      <c r="AH26" s="373"/>
      <c r="AI26" s="371"/>
      <c r="AJ26" s="370"/>
      <c r="AK26" s="370"/>
      <c r="AL26" s="370"/>
      <c r="AM26" s="371"/>
      <c r="AN26" s="373"/>
      <c r="AO26" s="371"/>
      <c r="AP26" s="370"/>
      <c r="AQ26" s="412"/>
      <c r="AR26" s="412"/>
      <c r="AS26" s="412"/>
      <c r="AT26" s="412"/>
      <c r="AU26" s="412"/>
      <c r="AV26" s="427"/>
      <c r="AW26" s="359"/>
      <c r="AX26" s="356"/>
      <c r="AY26" s="355"/>
      <c r="AZ26" s="355"/>
      <c r="BA26" s="359"/>
      <c r="BB26" s="356"/>
      <c r="BC26" s="355"/>
      <c r="BD26" s="355"/>
      <c r="BE26" s="364"/>
      <c r="BF26" s="364"/>
      <c r="BG26" s="364"/>
      <c r="BH26" s="364"/>
      <c r="BI26" s="364"/>
      <c r="BJ26" s="364"/>
      <c r="BK26" s="363"/>
      <c r="BL26" s="355"/>
      <c r="BM26" s="356"/>
      <c r="BN26" s="355"/>
      <c r="BO26" s="368"/>
      <c r="BP26" s="368"/>
      <c r="BQ26" s="368"/>
      <c r="BR26" s="368"/>
      <c r="BS26" s="368"/>
      <c r="BT26" s="368"/>
      <c r="BU26" s="368"/>
    </row>
    <row r="27" spans="1:73" s="354" customFormat="1" ht="38.1" customHeight="1">
      <c r="A27" s="521" t="s">
        <v>75</v>
      </c>
      <c r="B27" s="456"/>
      <c r="C27" s="484" t="s">
        <v>170</v>
      </c>
      <c r="D27" s="458"/>
      <c r="F27" s="445"/>
      <c r="G27" s="445"/>
      <c r="H27" s="371"/>
      <c r="I27" s="497" t="s">
        <v>125</v>
      </c>
      <c r="J27" s="500"/>
      <c r="K27" s="501"/>
      <c r="L27" s="501"/>
      <c r="M27" s="473"/>
      <c r="N27" s="473"/>
      <c r="O27" s="473"/>
      <c r="P27" s="371"/>
      <c r="Q27" s="373"/>
      <c r="R27" s="371"/>
      <c r="S27" s="371"/>
      <c r="T27" s="371"/>
      <c r="U27" s="371"/>
      <c r="V27" s="373"/>
      <c r="W27" s="371"/>
      <c r="X27" s="371"/>
      <c r="Y27" s="371"/>
      <c r="Z27" s="371"/>
      <c r="AA27" s="370"/>
      <c r="AB27" s="371"/>
      <c r="AC27" s="373"/>
      <c r="AD27" s="375"/>
      <c r="AE27" s="370"/>
      <c r="AF27" s="373"/>
      <c r="AG27" s="371"/>
      <c r="AH27" s="373"/>
      <c r="AI27" s="375"/>
      <c r="AJ27" s="370"/>
      <c r="AK27" s="370"/>
      <c r="AL27" s="370"/>
      <c r="AM27" s="371"/>
      <c r="AN27" s="373"/>
      <c r="AO27" s="375"/>
      <c r="AP27" s="370"/>
      <c r="AQ27" s="412"/>
      <c r="AR27" s="412"/>
      <c r="AS27" s="412"/>
      <c r="AT27" s="412"/>
      <c r="AU27" s="412"/>
      <c r="AV27" s="414"/>
      <c r="AW27" s="359"/>
      <c r="AX27" s="356"/>
      <c r="AY27" s="358"/>
      <c r="AZ27" s="355"/>
      <c r="BA27" s="359"/>
      <c r="BB27" s="356"/>
      <c r="BC27" s="358"/>
      <c r="BD27" s="355"/>
      <c r="BE27" s="364"/>
      <c r="BF27" s="364"/>
      <c r="BG27" s="364"/>
      <c r="BH27" s="364"/>
      <c r="BI27" s="364"/>
      <c r="BJ27" s="364"/>
      <c r="BK27" s="355"/>
      <c r="BL27" s="355"/>
      <c r="BM27" s="356"/>
      <c r="BN27" s="358"/>
      <c r="BO27" s="368"/>
      <c r="BP27" s="368"/>
      <c r="BQ27" s="368"/>
      <c r="BR27" s="368"/>
      <c r="BS27" s="368"/>
      <c r="BT27" s="368"/>
      <c r="BU27" s="368"/>
    </row>
    <row r="28" spans="1:73" s="354" customFormat="1" ht="38.1" customHeight="1">
      <c r="A28" s="520" t="s">
        <v>76</v>
      </c>
      <c r="B28" s="456"/>
      <c r="C28" s="479" t="s">
        <v>152</v>
      </c>
      <c r="D28" s="449"/>
      <c r="E28" s="445"/>
      <c r="F28" s="445"/>
      <c r="G28" s="445"/>
      <c r="H28" s="371"/>
      <c r="I28" s="497" t="s">
        <v>126</v>
      </c>
      <c r="J28" s="495"/>
      <c r="K28" s="501"/>
      <c r="L28" s="501"/>
      <c r="M28" s="473"/>
      <c r="N28" s="473"/>
      <c r="O28" s="473"/>
      <c r="P28" s="371"/>
      <c r="Q28" s="373"/>
      <c r="R28" s="371"/>
      <c r="S28" s="371"/>
      <c r="T28" s="371"/>
      <c r="U28" s="371"/>
      <c r="V28" s="373"/>
      <c r="W28" s="371"/>
      <c r="X28" s="371"/>
      <c r="Y28" s="371"/>
      <c r="Z28" s="371"/>
      <c r="AA28" s="370"/>
      <c r="AB28" s="371"/>
      <c r="AC28" s="371"/>
      <c r="AD28" s="371"/>
      <c r="AE28" s="370"/>
      <c r="AF28" s="373"/>
      <c r="AG28" s="371"/>
      <c r="AH28" s="371"/>
      <c r="AI28" s="371"/>
      <c r="AJ28" s="370"/>
      <c r="AK28" s="370"/>
      <c r="AL28" s="370"/>
      <c r="AM28" s="371"/>
      <c r="AN28" s="371"/>
      <c r="AO28" s="371"/>
      <c r="AP28" s="370"/>
      <c r="AQ28" s="412"/>
      <c r="AR28" s="412"/>
      <c r="AS28" s="412"/>
      <c r="AT28" s="412"/>
      <c r="AU28" s="412"/>
      <c r="AV28" s="414"/>
      <c r="AW28" s="359"/>
      <c r="AX28" s="355"/>
      <c r="AY28" s="355"/>
      <c r="AZ28" s="355"/>
      <c r="BA28" s="359"/>
      <c r="BB28" s="355"/>
      <c r="BC28" s="355"/>
      <c r="BD28" s="355"/>
      <c r="BE28" s="364"/>
      <c r="BF28" s="364"/>
      <c r="BG28" s="364"/>
      <c r="BH28" s="364"/>
      <c r="BI28" s="364"/>
      <c r="BJ28" s="364"/>
      <c r="BK28" s="355"/>
      <c r="BL28" s="355"/>
      <c r="BM28" s="355"/>
      <c r="BN28" s="355"/>
      <c r="BO28" s="368"/>
      <c r="BP28" s="368"/>
      <c r="BQ28" s="368"/>
      <c r="BR28" s="368"/>
      <c r="BS28" s="368"/>
      <c r="BT28" s="368"/>
      <c r="BU28" s="368"/>
    </row>
    <row r="29" spans="1:73" s="354" customFormat="1" ht="38.1" customHeight="1">
      <c r="A29" s="521" t="s">
        <v>77</v>
      </c>
      <c r="B29" s="445"/>
      <c r="C29" s="481"/>
      <c r="D29" s="445"/>
      <c r="E29" s="490" t="s">
        <v>151</v>
      </c>
      <c r="F29" s="445"/>
      <c r="G29" s="445"/>
      <c r="H29" s="371"/>
      <c r="I29" s="497"/>
      <c r="J29" s="495"/>
      <c r="K29" s="495"/>
      <c r="L29" s="495"/>
      <c r="M29" s="473"/>
      <c r="N29" s="473"/>
      <c r="O29" s="473"/>
      <c r="P29" s="371"/>
      <c r="Q29" s="371"/>
      <c r="R29" s="371"/>
      <c r="S29" s="371"/>
      <c r="T29" s="371"/>
      <c r="U29" s="371"/>
      <c r="V29" s="371"/>
      <c r="W29" s="371"/>
      <c r="X29" s="371"/>
      <c r="Y29" s="371"/>
      <c r="Z29" s="371"/>
      <c r="AA29" s="370"/>
      <c r="AB29" s="424"/>
      <c r="AC29" s="371"/>
      <c r="AD29" s="371"/>
      <c r="AE29" s="370"/>
      <c r="AF29" s="412"/>
      <c r="AG29" s="424"/>
      <c r="AH29" s="371"/>
      <c r="AI29" s="371"/>
      <c r="AJ29" s="370"/>
      <c r="AK29" s="370"/>
      <c r="AL29" s="370"/>
      <c r="AM29" s="373"/>
      <c r="AN29" s="371"/>
      <c r="AO29" s="371"/>
      <c r="AP29" s="370"/>
      <c r="AQ29" s="412"/>
      <c r="AR29" s="412"/>
      <c r="AS29" s="412"/>
      <c r="AT29" s="412"/>
      <c r="AU29" s="412"/>
      <c r="AV29" s="419"/>
      <c r="AW29" s="360"/>
      <c r="AX29" s="355"/>
      <c r="AY29" s="355"/>
      <c r="AZ29" s="355"/>
      <c r="BA29" s="360"/>
      <c r="BB29" s="355"/>
      <c r="BC29" s="355"/>
      <c r="BD29" s="355"/>
      <c r="BE29" s="364"/>
      <c r="BF29" s="364"/>
      <c r="BG29" s="364"/>
      <c r="BH29" s="364"/>
      <c r="BI29" s="364"/>
      <c r="BJ29" s="364"/>
      <c r="BK29" s="356"/>
      <c r="BL29" s="356"/>
      <c r="BM29" s="355"/>
      <c r="BN29" s="355"/>
      <c r="BO29" s="368"/>
      <c r="BP29" s="368"/>
      <c r="BQ29" s="368"/>
      <c r="BR29" s="368"/>
      <c r="BS29" s="368"/>
      <c r="BT29" s="368"/>
      <c r="BU29" s="368"/>
    </row>
    <row r="30" spans="1:73" s="354" customFormat="1" ht="38.1" customHeight="1">
      <c r="A30" s="521" t="s">
        <v>78</v>
      </c>
      <c r="B30" s="445" t="str">
        <f>A12</f>
        <v>Good</v>
      </c>
      <c r="C30" s="475"/>
      <c r="D30" s="445"/>
      <c r="E30" s="445"/>
      <c r="F30" s="445"/>
      <c r="G30" s="445"/>
      <c r="H30" s="370"/>
      <c r="I30" s="497"/>
      <c r="J30" s="495"/>
      <c r="K30" s="495"/>
      <c r="L30" s="495"/>
      <c r="M30" s="473"/>
      <c r="N30" s="473"/>
      <c r="O30" s="473"/>
      <c r="P30" s="371"/>
      <c r="Q30" s="412"/>
      <c r="R30" s="371"/>
      <c r="S30" s="371"/>
      <c r="T30" s="371"/>
      <c r="U30" s="371"/>
      <c r="V30" s="412"/>
      <c r="W30" s="370"/>
      <c r="X30" s="370"/>
      <c r="Y30" s="370"/>
      <c r="Z30" s="371"/>
      <c r="AA30" s="370"/>
      <c r="AB30" s="373"/>
      <c r="AC30" s="371"/>
      <c r="AD30" s="371"/>
      <c r="AE30" s="370"/>
      <c r="AF30" s="412"/>
      <c r="AG30" s="373"/>
      <c r="AH30" s="371"/>
      <c r="AI30" s="371"/>
      <c r="AJ30" s="370"/>
      <c r="AK30" s="370"/>
      <c r="AL30" s="370"/>
      <c r="AM30" s="373"/>
      <c r="AN30" s="371"/>
      <c r="AO30" s="371"/>
      <c r="AP30" s="370"/>
      <c r="AQ30" s="412"/>
      <c r="AR30" s="412"/>
      <c r="AS30" s="412"/>
      <c r="AT30" s="412"/>
      <c r="AU30" s="412"/>
      <c r="AV30" s="419"/>
      <c r="AW30" s="360"/>
      <c r="AX30" s="355"/>
      <c r="AY30" s="355"/>
      <c r="AZ30" s="355"/>
      <c r="BA30" s="360"/>
      <c r="BB30" s="355"/>
      <c r="BC30" s="355"/>
      <c r="BD30" s="355"/>
      <c r="BE30" s="364"/>
      <c r="BF30" s="364"/>
      <c r="BG30" s="364"/>
      <c r="BH30" s="364"/>
      <c r="BI30" s="364"/>
      <c r="BJ30" s="364"/>
      <c r="BK30" s="356"/>
      <c r="BL30" s="356"/>
      <c r="BM30" s="355"/>
      <c r="BN30" s="355"/>
      <c r="BO30" s="368"/>
      <c r="BP30" s="368"/>
      <c r="BQ30" s="368"/>
      <c r="BR30" s="368"/>
      <c r="BS30" s="368"/>
      <c r="BT30" s="368"/>
      <c r="BU30" s="368"/>
    </row>
    <row r="31" spans="1:73" s="354" customFormat="1" ht="38.1" customHeight="1">
      <c r="A31" s="521" t="s">
        <v>79</v>
      </c>
      <c r="B31" s="459"/>
      <c r="C31" s="475"/>
      <c r="D31" s="445"/>
      <c r="E31" s="445" t="s">
        <v>28</v>
      </c>
      <c r="F31" s="445"/>
      <c r="G31" s="445"/>
      <c r="H31" s="370"/>
      <c r="I31" s="497" t="s">
        <v>127</v>
      </c>
      <c r="J31" s="495"/>
      <c r="K31" s="495"/>
      <c r="L31" s="495"/>
      <c r="M31" s="473"/>
      <c r="N31" s="473"/>
      <c r="O31" s="473"/>
      <c r="P31" s="371"/>
      <c r="Q31" s="412"/>
      <c r="R31" s="370"/>
      <c r="S31" s="370"/>
      <c r="T31" s="370"/>
      <c r="U31" s="370"/>
      <c r="V31" s="412"/>
      <c r="W31" s="370"/>
      <c r="X31" s="370"/>
      <c r="Y31" s="370"/>
      <c r="Z31" s="371"/>
      <c r="AA31" s="370"/>
      <c r="AB31" s="371"/>
      <c r="AC31" s="371"/>
      <c r="AD31" s="371"/>
      <c r="AE31" s="370"/>
      <c r="AF31" s="412"/>
      <c r="AG31" s="371"/>
      <c r="AH31" s="371"/>
      <c r="AI31" s="371"/>
      <c r="AJ31" s="370"/>
      <c r="AK31" s="370"/>
      <c r="AL31" s="370"/>
      <c r="AM31" s="371"/>
      <c r="AN31" s="371"/>
      <c r="AO31" s="371"/>
      <c r="AP31" s="370"/>
      <c r="AQ31" s="412"/>
      <c r="AR31" s="412"/>
      <c r="AS31" s="412"/>
      <c r="AT31" s="412"/>
      <c r="AU31" s="412"/>
      <c r="AV31" s="414"/>
      <c r="AW31" s="359"/>
      <c r="AX31" s="355"/>
      <c r="AY31" s="355"/>
      <c r="AZ31" s="355"/>
      <c r="BA31" s="359"/>
      <c r="BB31" s="355"/>
      <c r="BC31" s="355"/>
      <c r="BD31" s="355"/>
      <c r="BE31" s="364"/>
      <c r="BF31" s="364"/>
      <c r="BG31" s="364"/>
      <c r="BH31" s="364"/>
      <c r="BI31" s="364"/>
      <c r="BJ31" s="364"/>
      <c r="BK31" s="364"/>
      <c r="BL31" s="355"/>
      <c r="BM31" s="355"/>
      <c r="BN31" s="355"/>
      <c r="BO31" s="368"/>
      <c r="BP31" s="368"/>
      <c r="BQ31" s="368"/>
      <c r="BR31" s="368"/>
      <c r="BS31" s="368"/>
      <c r="BT31" s="368"/>
      <c r="BU31" s="368"/>
    </row>
    <row r="32" spans="1:73" s="354" customFormat="1" ht="38.1" customHeight="1">
      <c r="A32" s="521" t="s">
        <v>80</v>
      </c>
      <c r="B32" s="451" t="s">
        <v>175</v>
      </c>
      <c r="C32" s="475"/>
      <c r="D32" s="445"/>
      <c r="E32" s="445"/>
      <c r="F32" s="445"/>
      <c r="G32" s="445"/>
      <c r="H32" s="370"/>
      <c r="I32" s="497"/>
      <c r="J32" s="501"/>
      <c r="K32" s="495"/>
      <c r="L32" s="495"/>
      <c r="M32" s="473"/>
      <c r="N32" s="473"/>
      <c r="O32" s="473"/>
      <c r="P32" s="371"/>
      <c r="Q32" s="412"/>
      <c r="R32" s="370"/>
      <c r="S32" s="370"/>
      <c r="T32" s="370"/>
      <c r="U32" s="370"/>
      <c r="V32" s="412"/>
      <c r="W32" s="370"/>
      <c r="X32" s="370"/>
      <c r="Y32" s="370"/>
      <c r="Z32" s="371"/>
      <c r="AA32" s="370"/>
      <c r="AB32" s="371"/>
      <c r="AC32" s="371"/>
      <c r="AD32" s="371"/>
      <c r="AE32" s="370"/>
      <c r="AF32" s="375"/>
      <c r="AG32" s="371"/>
      <c r="AH32" s="371"/>
      <c r="AI32" s="371"/>
      <c r="AJ32" s="370"/>
      <c r="AK32" s="370"/>
      <c r="AL32" s="370"/>
      <c r="AM32" s="412"/>
      <c r="AN32" s="373"/>
      <c r="AO32" s="371"/>
      <c r="AP32" s="370"/>
      <c r="AQ32" s="412"/>
      <c r="AR32" s="412"/>
      <c r="AS32" s="412"/>
      <c r="AT32" s="412"/>
      <c r="AU32" s="412"/>
      <c r="AV32" s="414"/>
      <c r="AW32" s="359"/>
      <c r="AX32" s="356"/>
      <c r="AY32" s="355"/>
      <c r="AZ32" s="355"/>
      <c r="BA32" s="359"/>
      <c r="BB32" s="356"/>
      <c r="BC32" s="358"/>
      <c r="BD32" s="355"/>
      <c r="BE32" s="364"/>
      <c r="BF32" s="364"/>
      <c r="BG32" s="364"/>
      <c r="BH32" s="364"/>
      <c r="BI32" s="364"/>
      <c r="BJ32" s="364"/>
      <c r="BK32" s="364"/>
      <c r="BL32" s="364"/>
      <c r="BM32" s="356"/>
      <c r="BN32" s="355"/>
      <c r="BO32" s="368"/>
      <c r="BP32" s="368"/>
      <c r="BQ32" s="368"/>
      <c r="BR32" s="368"/>
      <c r="BS32" s="368"/>
      <c r="BT32" s="368"/>
      <c r="BU32" s="368"/>
    </row>
    <row r="33" spans="1:73" s="354" customFormat="1" ht="38.1" customHeight="1">
      <c r="A33" s="521" t="s">
        <v>81</v>
      </c>
      <c r="B33" s="447" t="s">
        <v>153</v>
      </c>
      <c r="C33" s="477"/>
      <c r="D33" s="445"/>
      <c r="E33" s="445"/>
      <c r="F33" s="445"/>
      <c r="G33" s="445"/>
      <c r="H33" s="370"/>
      <c r="I33" s="497" t="s">
        <v>128</v>
      </c>
      <c r="J33" s="495"/>
      <c r="K33" s="501"/>
      <c r="L33" s="501"/>
      <c r="M33" s="473"/>
      <c r="N33" s="473"/>
      <c r="O33" s="473"/>
      <c r="P33" s="371"/>
      <c r="Q33" s="412"/>
      <c r="R33" s="370"/>
      <c r="S33" s="370"/>
      <c r="T33" s="370"/>
      <c r="U33" s="370"/>
      <c r="V33" s="412"/>
      <c r="W33" s="370"/>
      <c r="X33" s="370"/>
      <c r="Y33" s="370"/>
      <c r="Z33" s="371"/>
      <c r="AA33" s="370"/>
      <c r="AB33" s="370"/>
      <c r="AC33" s="370"/>
      <c r="AD33" s="370"/>
      <c r="AE33" s="371"/>
      <c r="AF33" s="375"/>
      <c r="AG33" s="370"/>
      <c r="AH33" s="370"/>
      <c r="AI33" s="370"/>
      <c r="AJ33" s="370"/>
      <c r="AK33" s="370"/>
      <c r="AL33" s="370"/>
      <c r="AM33" s="412"/>
      <c r="AN33" s="428"/>
      <c r="AO33" s="371"/>
      <c r="AP33" s="370"/>
      <c r="AQ33" s="412"/>
      <c r="AR33" s="412"/>
      <c r="AS33" s="412"/>
      <c r="AT33" s="412"/>
      <c r="AU33" s="412"/>
      <c r="AV33" s="414"/>
      <c r="AW33" s="359"/>
      <c r="AX33" s="365"/>
      <c r="AY33" s="355"/>
      <c r="AZ33" s="355"/>
      <c r="BA33" s="359"/>
      <c r="BB33" s="365"/>
      <c r="BC33" s="355"/>
      <c r="BD33" s="355"/>
      <c r="BE33" s="364"/>
      <c r="BF33" s="364"/>
      <c r="BG33" s="364"/>
      <c r="BH33" s="364"/>
      <c r="BI33" s="364"/>
      <c r="BJ33" s="364"/>
      <c r="BK33" s="364"/>
      <c r="BL33" s="364"/>
      <c r="BM33" s="365"/>
      <c r="BN33" s="355"/>
      <c r="BO33" s="368"/>
      <c r="BP33" s="368"/>
      <c r="BQ33" s="368"/>
      <c r="BR33" s="368"/>
      <c r="BS33" s="368"/>
      <c r="BT33" s="368"/>
      <c r="BU33" s="368"/>
    </row>
    <row r="34" spans="1:73" s="354" customFormat="1" ht="38.1" customHeight="1">
      <c r="A34" s="521" t="s">
        <v>82</v>
      </c>
      <c r="B34" s="448" t="str">
        <f>A19</f>
        <v>Smith</v>
      </c>
      <c r="C34" s="478" t="s">
        <v>176</v>
      </c>
      <c r="D34" s="449"/>
      <c r="E34" s="445"/>
      <c r="F34" s="445"/>
      <c r="G34" s="445"/>
      <c r="H34" s="429"/>
      <c r="I34" s="497"/>
      <c r="J34" s="495"/>
      <c r="K34" s="495"/>
      <c r="L34" s="501"/>
      <c r="M34" s="473"/>
      <c r="N34" s="473"/>
      <c r="O34" s="473"/>
      <c r="P34" s="371"/>
      <c r="Q34" s="412"/>
      <c r="R34" s="371"/>
      <c r="S34" s="371"/>
      <c r="T34" s="372"/>
      <c r="U34" s="371"/>
      <c r="V34" s="412"/>
      <c r="W34" s="371"/>
      <c r="X34" s="371"/>
      <c r="Y34" s="375"/>
      <c r="Z34" s="371"/>
      <c r="AA34" s="370"/>
      <c r="AB34" s="370"/>
      <c r="AC34" s="370"/>
      <c r="AD34" s="370"/>
      <c r="AE34" s="371"/>
      <c r="AF34" s="412"/>
      <c r="AG34" s="370"/>
      <c r="AH34" s="370"/>
      <c r="AI34" s="370"/>
      <c r="AJ34" s="370"/>
      <c r="AK34" s="370"/>
      <c r="AL34" s="370"/>
      <c r="AM34" s="375"/>
      <c r="AN34" s="371"/>
      <c r="AO34" s="374"/>
      <c r="AP34" s="370"/>
      <c r="AQ34" s="412"/>
      <c r="AR34" s="412"/>
      <c r="AS34" s="412"/>
      <c r="AT34" s="412"/>
      <c r="AU34" s="412"/>
      <c r="AV34" s="426"/>
      <c r="AW34" s="361"/>
      <c r="AX34" s="355"/>
      <c r="AY34" s="366"/>
      <c r="AZ34" s="355"/>
      <c r="BA34" s="361"/>
      <c r="BB34" s="355"/>
      <c r="BC34" s="366"/>
      <c r="BD34" s="355"/>
      <c r="BE34" s="364"/>
      <c r="BF34" s="364"/>
      <c r="BG34" s="364"/>
      <c r="BH34" s="364"/>
      <c r="BI34" s="364"/>
      <c r="BJ34" s="364"/>
      <c r="BK34" s="358"/>
      <c r="BL34" s="358"/>
      <c r="BM34" s="355"/>
      <c r="BN34" s="366"/>
      <c r="BO34" s="368"/>
      <c r="BP34" s="368"/>
      <c r="BQ34" s="368"/>
      <c r="BR34" s="368"/>
      <c r="BS34" s="368"/>
      <c r="BT34" s="368"/>
      <c r="BU34" s="368"/>
    </row>
    <row r="35" spans="1:73" s="354" customFormat="1" ht="38.1" customHeight="1">
      <c r="A35" s="522" t="s">
        <v>83</v>
      </c>
      <c r="B35" s="445" t="str">
        <f>A15</f>
        <v>Foley</v>
      </c>
      <c r="C35" s="479" t="s">
        <v>40</v>
      </c>
      <c r="D35" s="450"/>
      <c r="E35" s="446"/>
      <c r="F35" s="445"/>
      <c r="G35" s="445"/>
      <c r="H35" s="429"/>
      <c r="I35" s="502" t="s">
        <v>129</v>
      </c>
      <c r="J35" s="495"/>
      <c r="K35" s="495"/>
      <c r="L35" s="495"/>
      <c r="M35" s="473"/>
      <c r="N35" s="473"/>
      <c r="O35" s="473"/>
      <c r="P35" s="371"/>
      <c r="Q35" s="412"/>
      <c r="R35" s="373"/>
      <c r="S35" s="371"/>
      <c r="T35" s="371"/>
      <c r="U35" s="371"/>
      <c r="V35" s="412"/>
      <c r="W35" s="376"/>
      <c r="X35" s="371"/>
      <c r="Y35" s="370"/>
      <c r="Z35" s="371"/>
      <c r="AA35" s="370"/>
      <c r="AB35" s="370"/>
      <c r="AC35" s="370"/>
      <c r="AD35" s="370"/>
      <c r="AE35" s="371"/>
      <c r="AF35" s="412"/>
      <c r="AG35" s="371"/>
      <c r="AH35" s="375"/>
      <c r="AI35" s="371"/>
      <c r="AJ35" s="370"/>
      <c r="AK35" s="370"/>
      <c r="AL35" s="370"/>
      <c r="AM35" s="375"/>
      <c r="AN35" s="371"/>
      <c r="AO35" s="421"/>
      <c r="AP35" s="370"/>
      <c r="AQ35" s="412"/>
      <c r="AR35" s="412"/>
      <c r="AS35" s="412"/>
      <c r="AT35" s="412"/>
      <c r="AU35" s="412"/>
      <c r="AV35" s="426"/>
      <c r="AW35" s="361"/>
      <c r="AX35" s="355"/>
      <c r="AY35" s="367"/>
      <c r="AZ35" s="355"/>
      <c r="BA35" s="361"/>
      <c r="BB35" s="355"/>
      <c r="BC35" s="367"/>
      <c r="BD35" s="355"/>
      <c r="BE35" s="364"/>
      <c r="BF35" s="364"/>
      <c r="BG35" s="364"/>
      <c r="BH35" s="364"/>
      <c r="BI35" s="364"/>
      <c r="BJ35" s="364"/>
      <c r="BK35" s="358"/>
      <c r="BL35" s="358"/>
      <c r="BM35" s="355"/>
      <c r="BN35" s="367"/>
      <c r="BO35" s="368"/>
      <c r="BP35" s="368"/>
      <c r="BQ35" s="368"/>
      <c r="BR35" s="368"/>
      <c r="BS35" s="368"/>
      <c r="BT35" s="368"/>
      <c r="BU35" s="368"/>
    </row>
    <row r="36" spans="1:73" s="354" customFormat="1" ht="38.1" customHeight="1">
      <c r="A36" s="521" t="s">
        <v>84</v>
      </c>
      <c r="B36" s="450"/>
      <c r="C36" s="480"/>
      <c r="D36" s="449"/>
      <c r="E36" s="451"/>
      <c r="F36" s="445"/>
      <c r="G36" s="445"/>
      <c r="H36" s="430"/>
      <c r="I36" s="497" t="s">
        <v>190</v>
      </c>
      <c r="J36" s="495"/>
      <c r="K36" s="503"/>
      <c r="L36" s="495"/>
      <c r="M36" s="473"/>
      <c r="N36" s="473"/>
      <c r="O36" s="473"/>
      <c r="P36" s="371"/>
      <c r="Q36" s="412"/>
      <c r="R36" s="373"/>
      <c r="S36" s="371"/>
      <c r="T36" s="371"/>
      <c r="U36" s="371"/>
      <c r="V36" s="412"/>
      <c r="W36" s="373"/>
      <c r="X36" s="371"/>
      <c r="Y36" s="371"/>
      <c r="Z36" s="371"/>
      <c r="AA36" s="370"/>
      <c r="AB36" s="370"/>
      <c r="AC36" s="370"/>
      <c r="AD36" s="370"/>
      <c r="AE36" s="371"/>
      <c r="AF36" s="412"/>
      <c r="AG36" s="371"/>
      <c r="AH36" s="371"/>
      <c r="AI36" s="371"/>
      <c r="AJ36" s="370"/>
      <c r="AK36" s="370"/>
      <c r="AL36" s="370"/>
      <c r="AM36" s="412"/>
      <c r="AN36" s="371"/>
      <c r="AO36" s="373"/>
      <c r="AP36" s="370"/>
      <c r="AQ36" s="412"/>
      <c r="AR36" s="412"/>
      <c r="AS36" s="412"/>
      <c r="AT36" s="412"/>
      <c r="AU36" s="412"/>
      <c r="AV36" s="414"/>
      <c r="AW36" s="359"/>
      <c r="AX36" s="355"/>
      <c r="AY36" s="356"/>
      <c r="AZ36" s="358"/>
      <c r="BA36" s="359"/>
      <c r="BB36" s="355"/>
      <c r="BC36" s="356"/>
      <c r="BD36" s="358"/>
      <c r="BE36" s="364"/>
      <c r="BF36" s="364"/>
      <c r="BG36" s="364"/>
      <c r="BH36" s="364"/>
      <c r="BI36" s="364"/>
      <c r="BJ36" s="364"/>
      <c r="BK36" s="364"/>
      <c r="BL36" s="364"/>
      <c r="BM36" s="355"/>
      <c r="BN36" s="356"/>
      <c r="BO36" s="368"/>
      <c r="BP36" s="368"/>
      <c r="BQ36" s="368"/>
      <c r="BR36" s="368"/>
      <c r="BS36" s="368"/>
      <c r="BT36" s="368"/>
      <c r="BU36" s="368"/>
    </row>
    <row r="37" spans="1:73" s="354" customFormat="1" ht="38.1" customHeight="1">
      <c r="A37" s="521" t="s">
        <v>85</v>
      </c>
      <c r="B37" s="452" t="s">
        <v>177</v>
      </c>
      <c r="C37" s="481"/>
      <c r="D37" s="449"/>
      <c r="E37" s="451"/>
      <c r="F37" s="445"/>
      <c r="G37" s="445"/>
      <c r="H37" s="431"/>
      <c r="I37" s="497"/>
      <c r="J37" s="495"/>
      <c r="K37" s="504"/>
      <c r="L37" s="495"/>
      <c r="M37" s="473"/>
      <c r="N37" s="473"/>
      <c r="O37" s="473"/>
      <c r="P37" s="371"/>
      <c r="Q37" s="412"/>
      <c r="R37" s="371"/>
      <c r="S37" s="374"/>
      <c r="T37" s="371"/>
      <c r="U37" s="371"/>
      <c r="V37" s="412"/>
      <c r="W37" s="373"/>
      <c r="X37" s="371"/>
      <c r="Y37" s="371"/>
      <c r="Z37" s="371"/>
      <c r="AA37" s="370"/>
      <c r="AB37" s="370"/>
      <c r="AC37" s="370"/>
      <c r="AD37" s="370"/>
      <c r="AE37" s="371"/>
      <c r="AF37" s="370"/>
      <c r="AG37" s="371"/>
      <c r="AH37" s="371"/>
      <c r="AI37" s="371"/>
      <c r="AJ37" s="370"/>
      <c r="AK37" s="370"/>
      <c r="AL37" s="370"/>
      <c r="AM37" s="428"/>
      <c r="AN37" s="371"/>
      <c r="AO37" s="371"/>
      <c r="AP37" s="370"/>
      <c r="AQ37" s="412"/>
      <c r="AR37" s="412"/>
      <c r="AS37" s="412"/>
      <c r="AT37" s="412"/>
      <c r="AU37" s="412"/>
      <c r="AV37" s="414"/>
      <c r="AW37" s="369"/>
      <c r="AX37" s="355"/>
      <c r="AY37" s="355"/>
      <c r="AZ37" s="364"/>
      <c r="BA37" s="369"/>
      <c r="BB37" s="355"/>
      <c r="BC37" s="355"/>
      <c r="BD37" s="364"/>
      <c r="BE37" s="364"/>
      <c r="BF37" s="364"/>
      <c r="BG37" s="364"/>
      <c r="BH37" s="364"/>
      <c r="BI37" s="364"/>
      <c r="BJ37" s="364"/>
      <c r="BK37" s="364"/>
      <c r="BL37" s="365"/>
      <c r="BM37" s="355"/>
      <c r="BN37" s="355"/>
      <c r="BO37" s="368"/>
      <c r="BP37" s="368"/>
      <c r="BQ37" s="368"/>
      <c r="BR37" s="368"/>
      <c r="BS37" s="368"/>
      <c r="BT37" s="368"/>
      <c r="BU37" s="368"/>
    </row>
    <row r="38" spans="1:73" s="354" customFormat="1" ht="38.1" customHeight="1">
      <c r="A38" s="521" t="s">
        <v>86</v>
      </c>
      <c r="B38" s="447" t="s">
        <v>153</v>
      </c>
      <c r="C38" s="462"/>
      <c r="D38" s="449"/>
      <c r="E38" s="451"/>
      <c r="F38" s="445"/>
      <c r="G38" s="457" t="s">
        <v>154</v>
      </c>
      <c r="H38" s="370"/>
      <c r="I38" s="497" t="s">
        <v>191</v>
      </c>
      <c r="J38" s="495"/>
      <c r="K38" s="495"/>
      <c r="L38" s="495"/>
      <c r="M38" s="473"/>
      <c r="N38" s="473"/>
      <c r="O38" s="473"/>
      <c r="P38" s="371"/>
      <c r="Q38" s="375"/>
      <c r="R38" s="371"/>
      <c r="S38" s="373"/>
      <c r="T38" s="371"/>
      <c r="U38" s="371"/>
      <c r="V38" s="375"/>
      <c r="W38" s="371"/>
      <c r="X38" s="374"/>
      <c r="Y38" s="371"/>
      <c r="Z38" s="371"/>
      <c r="AA38" s="371"/>
      <c r="AB38" s="370"/>
      <c r="AC38" s="370"/>
      <c r="AD38" s="370"/>
      <c r="AE38" s="412"/>
      <c r="AF38" s="370"/>
      <c r="AG38" s="424"/>
      <c r="AH38" s="371"/>
      <c r="AI38" s="371"/>
      <c r="AJ38" s="370"/>
      <c r="AK38" s="370"/>
      <c r="AL38" s="370"/>
      <c r="AM38" s="371"/>
      <c r="AN38" s="371"/>
      <c r="AO38" s="375"/>
      <c r="AP38" s="370"/>
      <c r="AQ38" s="412"/>
      <c r="AR38" s="412"/>
      <c r="AS38" s="412"/>
      <c r="AT38" s="412"/>
      <c r="AU38" s="412"/>
      <c r="AV38" s="414"/>
      <c r="AW38" s="359"/>
      <c r="AX38" s="355"/>
      <c r="AY38" s="358"/>
      <c r="AZ38" s="364"/>
      <c r="BA38" s="359"/>
      <c r="BB38" s="355"/>
      <c r="BC38" s="358"/>
      <c r="BD38" s="364"/>
      <c r="BE38" s="364"/>
      <c r="BF38" s="364"/>
      <c r="BG38" s="364"/>
      <c r="BH38" s="364"/>
      <c r="BI38" s="364"/>
      <c r="BJ38" s="364"/>
      <c r="BK38" s="364"/>
      <c r="BL38" s="355"/>
      <c r="BM38" s="355"/>
      <c r="BN38" s="358"/>
      <c r="BO38" s="368"/>
      <c r="BP38" s="368"/>
      <c r="BQ38" s="368"/>
      <c r="BR38" s="368"/>
      <c r="BS38" s="368"/>
      <c r="BT38" s="368"/>
      <c r="BU38" s="368"/>
    </row>
    <row r="39" spans="1:73" s="354" customFormat="1" ht="38.1" customHeight="1">
      <c r="A39" s="523" t="s">
        <v>87</v>
      </c>
      <c r="B39" s="448" t="str">
        <f>A16</f>
        <v>Johnson</v>
      </c>
      <c r="C39" s="475"/>
      <c r="D39" s="449"/>
      <c r="E39" s="451" t="s">
        <v>178</v>
      </c>
      <c r="F39" s="453"/>
      <c r="G39" s="457"/>
      <c r="H39" s="370"/>
      <c r="I39" s="497"/>
      <c r="J39" s="495"/>
      <c r="K39" s="505"/>
      <c r="L39" s="501"/>
      <c r="M39" s="473"/>
      <c r="N39" s="473"/>
      <c r="O39" s="473"/>
      <c r="P39" s="371"/>
      <c r="Q39" s="373"/>
      <c r="R39" s="371"/>
      <c r="S39" s="373"/>
      <c r="T39" s="375"/>
      <c r="U39" s="371"/>
      <c r="V39" s="373"/>
      <c r="W39" s="371"/>
      <c r="X39" s="373"/>
      <c r="Y39" s="371"/>
      <c r="Z39" s="371"/>
      <c r="AA39" s="371"/>
      <c r="AB39" s="370"/>
      <c r="AC39" s="370"/>
      <c r="AD39" s="370"/>
      <c r="AE39" s="370"/>
      <c r="AF39" s="370"/>
      <c r="AG39" s="373"/>
      <c r="AH39" s="371"/>
      <c r="AI39" s="371"/>
      <c r="AJ39" s="370"/>
      <c r="AK39" s="370"/>
      <c r="AL39" s="370"/>
      <c r="AM39" s="370"/>
      <c r="AN39" s="370"/>
      <c r="AO39" s="370"/>
      <c r="AP39" s="370"/>
      <c r="AQ39" s="370"/>
      <c r="AR39" s="370"/>
      <c r="AS39" s="370"/>
      <c r="AT39" s="370"/>
      <c r="AU39" s="370"/>
      <c r="AV39" s="420"/>
      <c r="AW39" s="407"/>
      <c r="AX39" s="368"/>
      <c r="AY39" s="368"/>
      <c r="AZ39" s="368"/>
      <c r="BA39" s="407"/>
      <c r="BB39" s="368"/>
      <c r="BC39" s="368"/>
      <c r="BD39" s="368"/>
      <c r="BE39" s="368"/>
      <c r="BF39" s="368"/>
      <c r="BG39" s="368"/>
      <c r="BH39" s="368"/>
      <c r="BI39" s="368"/>
      <c r="BJ39" s="368"/>
      <c r="BK39" s="368"/>
      <c r="BL39" s="368"/>
      <c r="BM39" s="368"/>
      <c r="BN39" s="368"/>
      <c r="BO39" s="368"/>
      <c r="BP39" s="368"/>
      <c r="BQ39" s="368"/>
      <c r="BR39" s="368"/>
      <c r="BS39" s="368"/>
      <c r="BT39" s="368"/>
      <c r="BU39" s="368"/>
    </row>
    <row r="40" spans="1:73" s="354" customFormat="1" ht="38.1" customHeight="1">
      <c r="A40" s="523" t="s">
        <v>88</v>
      </c>
      <c r="B40" s="445" t="str">
        <f>A13</f>
        <v>Wright</v>
      </c>
      <c r="C40" s="475"/>
      <c r="D40" s="449"/>
      <c r="E40" s="451"/>
      <c r="F40" s="458"/>
      <c r="G40" s="457" t="s">
        <v>155</v>
      </c>
      <c r="H40" s="370"/>
      <c r="I40" s="497" t="s">
        <v>130</v>
      </c>
      <c r="J40" s="499"/>
      <c r="K40" s="499"/>
      <c r="L40" s="499"/>
      <c r="M40" s="473"/>
      <c r="N40" s="473"/>
      <c r="O40" s="473"/>
      <c r="P40" s="371"/>
      <c r="Q40" s="412"/>
      <c r="R40" s="371"/>
      <c r="S40" s="371"/>
      <c r="T40" s="371"/>
      <c r="U40" s="371"/>
      <c r="V40" s="412"/>
      <c r="W40" s="371"/>
      <c r="X40" s="373"/>
      <c r="Y40" s="375"/>
      <c r="Z40" s="371"/>
      <c r="AA40" s="371"/>
      <c r="AB40" s="370"/>
      <c r="AC40" s="370"/>
      <c r="AD40" s="370"/>
      <c r="AE40" s="370"/>
      <c r="AF40" s="370"/>
      <c r="AG40" s="371"/>
      <c r="AH40" s="374"/>
      <c r="AI40" s="371"/>
      <c r="AJ40" s="370"/>
      <c r="AK40" s="370"/>
      <c r="AL40" s="370"/>
      <c r="AM40" s="370"/>
      <c r="AN40" s="370"/>
      <c r="AO40" s="370"/>
      <c r="AP40" s="420"/>
      <c r="AQ40" s="420"/>
      <c r="AR40" s="370"/>
      <c r="AS40" s="370"/>
      <c r="AT40" s="370"/>
      <c r="AU40" s="420"/>
      <c r="AV40" s="370"/>
      <c r="AW40" s="368"/>
      <c r="AX40" s="368"/>
      <c r="AY40" s="368"/>
      <c r="AZ40" s="368"/>
      <c r="BA40" s="368"/>
      <c r="BB40" s="368"/>
      <c r="BC40" s="368"/>
      <c r="BD40" s="368"/>
      <c r="BE40" s="368"/>
      <c r="BF40" s="368"/>
      <c r="BG40" s="368"/>
      <c r="BH40" s="368"/>
      <c r="BI40" s="368"/>
      <c r="BJ40" s="368"/>
      <c r="BK40" s="368"/>
      <c r="BL40" s="368"/>
      <c r="BM40" s="368"/>
      <c r="BN40" s="368"/>
      <c r="BO40" s="368"/>
      <c r="BP40" s="368"/>
      <c r="BQ40" s="368"/>
      <c r="BR40" s="368"/>
      <c r="BS40" s="368"/>
      <c r="BT40" s="368"/>
      <c r="BU40" s="368"/>
    </row>
    <row r="41" spans="1:73" ht="38.1" customHeight="1">
      <c r="A41" s="523" t="s">
        <v>89</v>
      </c>
      <c r="B41" s="446"/>
      <c r="C41" s="475"/>
      <c r="D41" s="449"/>
      <c r="E41" s="449"/>
      <c r="F41" s="454"/>
      <c r="G41" s="445"/>
      <c r="H41" s="370"/>
      <c r="I41" s="497" t="s">
        <v>131</v>
      </c>
      <c r="J41" s="499"/>
      <c r="K41" s="497"/>
      <c r="L41" s="497"/>
      <c r="M41" s="473"/>
      <c r="N41" s="473"/>
      <c r="O41" s="473"/>
      <c r="P41" s="371"/>
      <c r="Q41" s="432"/>
      <c r="R41" s="373"/>
      <c r="S41" s="371"/>
      <c r="T41" s="371"/>
      <c r="U41" s="371"/>
      <c r="V41" s="432"/>
      <c r="W41" s="371"/>
      <c r="X41" s="371"/>
      <c r="Y41" s="371"/>
      <c r="Z41" s="371"/>
      <c r="AA41" s="371"/>
      <c r="AB41" s="377"/>
      <c r="AC41" s="377"/>
      <c r="AD41" s="377"/>
      <c r="AE41" s="377"/>
      <c r="AF41" s="377"/>
      <c r="AG41" s="371"/>
      <c r="AH41" s="373"/>
      <c r="AI41" s="371"/>
      <c r="AJ41" s="377"/>
      <c r="AK41" s="377"/>
      <c r="AL41" s="377"/>
      <c r="AM41" s="377"/>
      <c r="AN41" s="377"/>
      <c r="AO41" s="377"/>
      <c r="AP41" s="408"/>
      <c r="AQ41" s="408"/>
      <c r="AR41" s="377"/>
      <c r="AS41" s="377"/>
      <c r="AT41" s="377"/>
      <c r="AU41" s="408"/>
      <c r="AV41" s="377"/>
      <c r="AW41" s="254"/>
      <c r="AX41" s="254"/>
      <c r="AY41" s="254"/>
      <c r="AZ41" s="254"/>
      <c r="BA41" s="254"/>
      <c r="BB41" s="254"/>
      <c r="BC41" s="254"/>
      <c r="BD41" s="254"/>
      <c r="BE41" s="254"/>
      <c r="BF41" s="254"/>
      <c r="BG41" s="254"/>
      <c r="BH41" s="254"/>
      <c r="BI41" s="254"/>
      <c r="BJ41" s="254"/>
      <c r="BK41" s="254"/>
      <c r="BL41" s="254"/>
      <c r="BM41" s="254"/>
      <c r="BN41" s="254"/>
      <c r="BO41" s="254"/>
      <c r="BP41" s="254"/>
      <c r="BQ41" s="254"/>
      <c r="BR41" s="254"/>
      <c r="BS41" s="254"/>
      <c r="BT41" s="254"/>
      <c r="BU41" s="254"/>
    </row>
    <row r="42" spans="1:73" ht="38.1" customHeight="1">
      <c r="A42" s="523" t="s">
        <v>90</v>
      </c>
      <c r="B42" s="452" t="s">
        <v>178</v>
      </c>
      <c r="C42" s="475"/>
      <c r="D42" s="449"/>
      <c r="E42" s="449"/>
      <c r="F42" s="454"/>
      <c r="G42" s="445"/>
      <c r="H42" s="370"/>
      <c r="I42" s="497"/>
      <c r="J42" s="499"/>
      <c r="K42" s="497"/>
      <c r="L42" s="497"/>
      <c r="M42" s="473"/>
      <c r="N42" s="473"/>
      <c r="O42" s="473"/>
      <c r="P42" s="412"/>
      <c r="Q42" s="412"/>
      <c r="R42" s="373"/>
      <c r="S42" s="371"/>
      <c r="T42" s="371"/>
      <c r="U42" s="371"/>
      <c r="V42" s="412"/>
      <c r="W42" s="373"/>
      <c r="X42" s="371"/>
      <c r="Y42" s="371"/>
      <c r="Z42" s="412"/>
      <c r="AA42" s="412"/>
      <c r="AB42" s="377"/>
      <c r="AC42" s="377"/>
      <c r="AD42" s="377"/>
      <c r="AE42" s="377"/>
      <c r="AF42" s="377"/>
      <c r="AG42" s="371"/>
      <c r="AH42" s="373"/>
      <c r="AI42" s="375"/>
      <c r="AJ42" s="377"/>
      <c r="AK42" s="377"/>
      <c r="AL42" s="377"/>
      <c r="AM42" s="377"/>
      <c r="AN42" s="377"/>
      <c r="AO42" s="377"/>
      <c r="AP42" s="408"/>
      <c r="AQ42" s="408"/>
      <c r="AR42" s="377"/>
      <c r="AS42" s="377"/>
      <c r="AT42" s="377"/>
      <c r="AU42" s="408"/>
      <c r="AV42" s="377"/>
      <c r="AW42" s="254"/>
      <c r="AX42" s="254"/>
      <c r="AY42" s="254"/>
      <c r="AZ42" s="254"/>
      <c r="BA42" s="254"/>
      <c r="BB42" s="254"/>
      <c r="BC42" s="254"/>
      <c r="BD42" s="254"/>
      <c r="BE42" s="254"/>
      <c r="BF42" s="254"/>
      <c r="BG42" s="254"/>
      <c r="BH42" s="254"/>
      <c r="BI42" s="254"/>
      <c r="BJ42" s="254"/>
      <c r="BK42" s="254"/>
      <c r="BL42" s="254"/>
      <c r="BM42" s="254"/>
      <c r="BN42" s="254"/>
      <c r="BO42" s="254"/>
      <c r="BP42" s="254"/>
      <c r="BQ42" s="254"/>
      <c r="BR42" s="254"/>
      <c r="BS42" s="254"/>
      <c r="BT42" s="254"/>
      <c r="BU42" s="254"/>
    </row>
    <row r="43" spans="1:73" ht="38.1" customHeight="1">
      <c r="A43" s="523" t="s">
        <v>91</v>
      </c>
      <c r="B43" s="447" t="s">
        <v>156</v>
      </c>
      <c r="C43" s="477"/>
      <c r="D43" s="449"/>
      <c r="E43" s="449"/>
      <c r="F43" s="454"/>
      <c r="G43" s="445"/>
      <c r="H43" s="370"/>
      <c r="I43" s="497"/>
      <c r="J43" s="499"/>
      <c r="K43" s="497"/>
      <c r="L43" s="497"/>
      <c r="M43" s="473"/>
      <c r="N43" s="473"/>
      <c r="O43" s="473"/>
      <c r="P43" s="370"/>
      <c r="Q43" s="370"/>
      <c r="R43" s="371"/>
      <c r="S43" s="371"/>
      <c r="T43" s="371"/>
      <c r="U43" s="371"/>
      <c r="V43" s="370"/>
      <c r="W43" s="373"/>
      <c r="X43" s="371"/>
      <c r="Y43" s="371"/>
      <c r="Z43" s="370"/>
      <c r="AA43" s="370"/>
      <c r="AB43" s="377"/>
      <c r="AC43" s="377"/>
      <c r="AD43" s="377"/>
      <c r="AE43" s="377"/>
      <c r="AF43" s="377"/>
      <c r="AG43" s="371"/>
      <c r="AH43" s="371"/>
      <c r="AI43" s="371"/>
      <c r="AJ43" s="377"/>
      <c r="AK43" s="377"/>
      <c r="AL43" s="377"/>
      <c r="AM43" s="377"/>
      <c r="AN43" s="377"/>
      <c r="AO43" s="377"/>
      <c r="AP43" s="408"/>
      <c r="AQ43" s="408"/>
      <c r="AR43" s="377"/>
      <c r="AS43" s="377"/>
      <c r="AT43" s="377"/>
      <c r="AU43" s="408"/>
      <c r="AV43" s="377"/>
      <c r="AW43" s="254"/>
      <c r="AX43" s="254"/>
      <c r="AY43" s="254"/>
      <c r="AZ43" s="254"/>
      <c r="BA43" s="254"/>
      <c r="BB43" s="254"/>
      <c r="BC43" s="254"/>
      <c r="BD43" s="254"/>
      <c r="BE43" s="254"/>
      <c r="BF43" s="254"/>
      <c r="BG43" s="254"/>
      <c r="BH43" s="254"/>
      <c r="BI43" s="254"/>
      <c r="BJ43" s="254"/>
      <c r="BK43" s="254"/>
      <c r="BL43" s="254"/>
      <c r="BM43" s="254"/>
      <c r="BN43" s="254"/>
      <c r="BO43" s="254"/>
      <c r="BP43" s="254"/>
      <c r="BQ43" s="254"/>
      <c r="BR43" s="254"/>
      <c r="BS43" s="254"/>
      <c r="BT43" s="254"/>
      <c r="BU43" s="254"/>
    </row>
    <row r="44" spans="1:73" ht="38.1" customHeight="1">
      <c r="A44" s="520" t="s">
        <v>92</v>
      </c>
      <c r="B44" s="448" t="str">
        <f>A18</f>
        <v>Duff</v>
      </c>
      <c r="C44" s="478" t="s">
        <v>175</v>
      </c>
      <c r="D44" s="454"/>
      <c r="E44" s="449"/>
      <c r="F44" s="454"/>
      <c r="G44" s="445"/>
      <c r="H44" s="370"/>
      <c r="I44" s="497" t="s">
        <v>233</v>
      </c>
      <c r="J44" s="499"/>
      <c r="K44" s="497"/>
      <c r="L44" s="497"/>
      <c r="M44" s="473"/>
      <c r="N44" s="473"/>
      <c r="O44" s="473"/>
      <c r="P44" s="370"/>
      <c r="Q44" s="370"/>
      <c r="R44" s="370"/>
      <c r="S44" s="370"/>
      <c r="T44" s="370"/>
      <c r="U44" s="370"/>
      <c r="V44" s="370"/>
      <c r="W44" s="371"/>
      <c r="X44" s="371"/>
      <c r="Y44" s="371"/>
      <c r="Z44" s="370"/>
      <c r="AA44" s="370"/>
      <c r="AB44" s="377"/>
      <c r="AC44" s="377"/>
      <c r="AD44" s="377"/>
      <c r="AE44" s="377"/>
      <c r="AF44" s="377"/>
      <c r="AG44" s="424"/>
      <c r="AH44" s="371"/>
      <c r="AI44" s="371"/>
      <c r="AJ44" s="377"/>
      <c r="AK44" s="408"/>
      <c r="AL44" s="408"/>
      <c r="AM44" s="377"/>
      <c r="AN44" s="377"/>
      <c r="AO44" s="377"/>
      <c r="AP44" s="377"/>
      <c r="AQ44" s="408"/>
      <c r="AR44" s="377"/>
      <c r="AS44" s="377"/>
      <c r="AT44" s="377"/>
      <c r="AU44" s="377"/>
      <c r="AV44" s="377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</row>
    <row r="45" spans="1:73" ht="38.1" customHeight="1">
      <c r="A45" s="521" t="s">
        <v>93</v>
      </c>
      <c r="B45" s="445" t="str">
        <f>A14</f>
        <v>Banares</v>
      </c>
      <c r="C45" s="479" t="s">
        <v>40</v>
      </c>
      <c r="D45" s="458"/>
      <c r="E45" s="455"/>
      <c r="F45" s="454"/>
      <c r="G45" s="445"/>
      <c r="H45" s="377"/>
      <c r="I45" s="497" t="s">
        <v>132</v>
      </c>
      <c r="J45" s="497"/>
      <c r="K45" s="497"/>
      <c r="L45" s="497"/>
      <c r="M45" s="473"/>
      <c r="N45" s="473"/>
      <c r="O45" s="473"/>
      <c r="P45" s="377"/>
      <c r="Q45" s="377"/>
      <c r="R45" s="377"/>
      <c r="S45" s="377"/>
      <c r="T45" s="377"/>
      <c r="U45" s="377"/>
      <c r="V45" s="377"/>
      <c r="W45" s="377"/>
      <c r="X45" s="377"/>
      <c r="Y45" s="377"/>
      <c r="Z45" s="377"/>
      <c r="AA45" s="377"/>
      <c r="AB45" s="377"/>
      <c r="AC45" s="377"/>
      <c r="AD45" s="377"/>
      <c r="AE45" s="377"/>
      <c r="AF45" s="377"/>
      <c r="AG45" s="373"/>
      <c r="AH45" s="371"/>
      <c r="AI45" s="371"/>
      <c r="AJ45" s="377"/>
      <c r="AK45" s="408"/>
      <c r="AL45" s="408"/>
      <c r="AM45" s="377"/>
      <c r="AN45" s="377"/>
      <c r="AO45" s="377"/>
      <c r="AP45" s="377"/>
      <c r="AQ45" s="408"/>
      <c r="AR45" s="377"/>
      <c r="AS45" s="377"/>
      <c r="AT45" s="377"/>
      <c r="AU45" s="377"/>
      <c r="AV45" s="377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</row>
    <row r="46" spans="1:73" ht="38.1" customHeight="1">
      <c r="A46" s="521" t="s">
        <v>94</v>
      </c>
      <c r="B46" s="446"/>
      <c r="C46" s="478"/>
      <c r="D46" s="449"/>
      <c r="E46" s="449"/>
      <c r="F46" s="445"/>
      <c r="G46" s="445"/>
      <c r="H46" s="377"/>
      <c r="I46" s="497" t="s">
        <v>133</v>
      </c>
      <c r="J46" s="497"/>
      <c r="K46" s="497"/>
      <c r="L46" s="497"/>
      <c r="M46" s="473"/>
      <c r="N46" s="473"/>
      <c r="O46" s="473"/>
      <c r="P46" s="377"/>
      <c r="Q46" s="377"/>
      <c r="R46" s="377"/>
      <c r="S46" s="377"/>
      <c r="T46" s="377"/>
      <c r="U46" s="377"/>
      <c r="V46" s="377"/>
      <c r="W46" s="377"/>
      <c r="X46" s="377"/>
      <c r="Y46" s="377"/>
      <c r="Z46" s="377"/>
      <c r="AA46" s="377"/>
      <c r="AB46" s="377"/>
      <c r="AC46" s="377"/>
      <c r="AD46" s="377"/>
      <c r="AE46" s="377"/>
      <c r="AF46" s="377"/>
      <c r="AG46" s="371"/>
      <c r="AH46" s="371"/>
      <c r="AI46" s="371"/>
      <c r="AJ46" s="377"/>
      <c r="AK46" s="408"/>
      <c r="AL46" s="408"/>
      <c r="AM46" s="377"/>
      <c r="AN46" s="377"/>
      <c r="AO46" s="377"/>
      <c r="AP46" s="377"/>
      <c r="AQ46" s="408"/>
      <c r="AR46" s="377"/>
      <c r="AS46" s="377"/>
      <c r="AT46" s="377"/>
      <c r="AU46" s="377"/>
      <c r="AV46" s="377"/>
      <c r="AW46" s="254"/>
      <c r="AX46" s="254"/>
      <c r="AY46" s="254"/>
      <c r="AZ46" s="254"/>
      <c r="BA46" s="254"/>
      <c r="BB46" s="254"/>
      <c r="BC46" s="254"/>
      <c r="BD46" s="254"/>
      <c r="BE46" s="254"/>
      <c r="BF46" s="254"/>
      <c r="BG46" s="254"/>
      <c r="BH46" s="254"/>
      <c r="BI46" s="254"/>
      <c r="BJ46" s="254"/>
      <c r="BK46" s="254"/>
      <c r="BL46" s="254"/>
      <c r="BM46" s="254"/>
      <c r="BN46" s="254"/>
      <c r="BO46" s="254"/>
      <c r="BP46" s="254"/>
      <c r="BQ46" s="254"/>
      <c r="BR46" s="254"/>
      <c r="BS46" s="254"/>
      <c r="BT46" s="254"/>
      <c r="BU46" s="254"/>
    </row>
    <row r="47" spans="1:73" ht="38.1" customHeight="1">
      <c r="A47" s="521" t="s">
        <v>95</v>
      </c>
      <c r="B47" s="452" t="s">
        <v>179</v>
      </c>
      <c r="C47" s="481"/>
      <c r="D47" s="449"/>
      <c r="E47" s="449"/>
      <c r="F47" s="449"/>
      <c r="G47" s="449"/>
      <c r="H47" s="377"/>
      <c r="I47" s="497" t="s">
        <v>134</v>
      </c>
      <c r="J47" s="497"/>
      <c r="K47" s="497"/>
      <c r="L47" s="497"/>
      <c r="M47" s="473"/>
      <c r="N47" s="473"/>
      <c r="O47" s="473"/>
      <c r="P47" s="377"/>
      <c r="Q47" s="377"/>
      <c r="R47" s="377"/>
      <c r="S47" s="377"/>
      <c r="T47" s="377"/>
      <c r="U47" s="377"/>
      <c r="V47" s="377"/>
      <c r="W47" s="377"/>
      <c r="X47" s="377"/>
      <c r="Y47" s="377"/>
      <c r="Z47" s="377"/>
      <c r="AA47" s="377"/>
      <c r="AB47" s="377"/>
      <c r="AC47" s="377"/>
      <c r="AD47" s="377"/>
      <c r="AE47" s="377"/>
      <c r="AF47" s="377"/>
      <c r="AG47" s="377"/>
      <c r="AH47" s="377"/>
      <c r="AI47" s="377"/>
      <c r="AJ47" s="377"/>
      <c r="AK47" s="408"/>
      <c r="AL47" s="408"/>
      <c r="AM47" s="377"/>
      <c r="AN47" s="377"/>
      <c r="AO47" s="377"/>
      <c r="AP47" s="377"/>
      <c r="AQ47" s="408"/>
      <c r="AR47" s="377"/>
      <c r="AS47" s="377"/>
      <c r="AT47" s="377"/>
      <c r="AU47" s="377"/>
      <c r="AV47" s="377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4"/>
      <c r="BT47" s="254"/>
      <c r="BU47" s="254"/>
    </row>
    <row r="48" spans="1:73" ht="38.1" customHeight="1">
      <c r="A48" s="521" t="s">
        <v>96</v>
      </c>
      <c r="B48" s="447" t="s">
        <v>156</v>
      </c>
      <c r="C48" s="475"/>
      <c r="D48" s="445"/>
      <c r="E48" s="449"/>
      <c r="F48" s="449"/>
      <c r="G48" s="449"/>
      <c r="H48" s="377"/>
      <c r="I48" s="494"/>
      <c r="J48" s="497"/>
      <c r="K48" s="497"/>
      <c r="L48" s="497"/>
      <c r="M48" s="473"/>
      <c r="N48" s="473"/>
      <c r="O48" s="473"/>
      <c r="P48" s="377"/>
      <c r="Q48" s="377"/>
      <c r="R48" s="377"/>
      <c r="S48" s="377"/>
      <c r="T48" s="377"/>
      <c r="U48" s="377"/>
      <c r="V48" s="377"/>
      <c r="W48" s="377"/>
      <c r="X48" s="377"/>
      <c r="Y48" s="377"/>
      <c r="Z48" s="377"/>
      <c r="AA48" s="377"/>
      <c r="AB48" s="377"/>
      <c r="AC48" s="377"/>
      <c r="AD48" s="377"/>
      <c r="AE48" s="377"/>
      <c r="AF48" s="377"/>
      <c r="AG48" s="371"/>
      <c r="AH48" s="371"/>
      <c r="AI48" s="371"/>
      <c r="AJ48" s="377"/>
      <c r="AK48" s="408"/>
      <c r="AL48" s="408"/>
      <c r="AM48" s="377"/>
      <c r="AN48" s="377"/>
      <c r="AO48" s="377"/>
      <c r="AP48" s="377"/>
      <c r="AQ48" s="408"/>
      <c r="AR48" s="377"/>
      <c r="AS48" s="377"/>
      <c r="AT48" s="377"/>
      <c r="AU48" s="377"/>
      <c r="AV48" s="377"/>
      <c r="AW48" s="254"/>
      <c r="AX48" s="254"/>
      <c r="AY48" s="254"/>
      <c r="AZ48" s="254"/>
      <c r="BA48" s="254"/>
      <c r="BB48" s="254"/>
      <c r="BC48" s="254"/>
      <c r="BD48" s="254"/>
      <c r="BE48" s="254"/>
      <c r="BF48" s="254"/>
      <c r="BG48" s="254"/>
      <c r="BH48" s="254"/>
      <c r="BI48" s="254"/>
      <c r="BJ48" s="254"/>
      <c r="BK48" s="254"/>
      <c r="BL48" s="254"/>
      <c r="BM48" s="254"/>
      <c r="BN48" s="254"/>
      <c r="BO48" s="254"/>
      <c r="BP48" s="254"/>
      <c r="BQ48" s="254"/>
      <c r="BR48" s="254"/>
      <c r="BS48" s="254"/>
      <c r="BT48" s="254"/>
      <c r="BU48" s="254"/>
    </row>
    <row r="49" spans="1:73" ht="38.1" customHeight="1">
      <c r="A49" s="521" t="s">
        <v>97</v>
      </c>
      <c r="B49" s="448" t="str">
        <f>A17</f>
        <v>Cloud</v>
      </c>
      <c r="C49" s="475"/>
      <c r="D49" s="445"/>
      <c r="E49" s="449"/>
      <c r="F49" s="449"/>
      <c r="G49" s="449"/>
      <c r="H49" s="377"/>
      <c r="I49" s="494"/>
      <c r="J49" s="497"/>
      <c r="K49" s="497"/>
      <c r="L49" s="497"/>
      <c r="M49" s="473"/>
      <c r="N49" s="473"/>
      <c r="O49" s="473"/>
      <c r="P49" s="377"/>
      <c r="Q49" s="377"/>
      <c r="R49" s="377"/>
      <c r="S49" s="377"/>
      <c r="T49" s="377"/>
      <c r="U49" s="377"/>
      <c r="V49" s="377"/>
      <c r="W49" s="377"/>
      <c r="X49" s="377"/>
      <c r="Y49" s="377"/>
      <c r="Z49" s="377"/>
      <c r="AA49" s="377"/>
      <c r="AB49" s="377"/>
      <c r="AC49" s="377"/>
      <c r="AD49" s="377"/>
      <c r="AE49" s="377"/>
      <c r="AF49" s="377"/>
      <c r="AG49" s="377"/>
      <c r="AH49" s="377"/>
      <c r="AI49" s="377"/>
      <c r="AJ49" s="377"/>
      <c r="AK49" s="408"/>
      <c r="AL49" s="408"/>
      <c r="AM49" s="377"/>
      <c r="AN49" s="377"/>
      <c r="AO49" s="377"/>
      <c r="AP49" s="377"/>
      <c r="AQ49" s="408"/>
      <c r="AR49" s="377"/>
      <c r="AS49" s="377"/>
      <c r="AT49" s="377"/>
      <c r="AU49" s="377"/>
      <c r="AV49" s="377"/>
      <c r="AW49" s="254"/>
      <c r="AX49" s="254"/>
      <c r="AY49" s="254"/>
      <c r="AZ49" s="254"/>
      <c r="BA49" s="254"/>
      <c r="BB49" s="254"/>
      <c r="BC49" s="254"/>
      <c r="BD49" s="254"/>
      <c r="BE49" s="254"/>
      <c r="BF49" s="254"/>
      <c r="BG49" s="254"/>
      <c r="BH49" s="254"/>
      <c r="BI49" s="254"/>
      <c r="BJ49" s="254"/>
      <c r="BK49" s="254"/>
      <c r="BL49" s="254"/>
      <c r="BM49" s="254"/>
      <c r="BN49" s="254"/>
      <c r="BO49" s="254"/>
      <c r="BP49" s="254"/>
      <c r="BQ49" s="254"/>
      <c r="BR49" s="254"/>
      <c r="BS49" s="254"/>
      <c r="BT49" s="254"/>
      <c r="BU49" s="254"/>
    </row>
    <row r="50" spans="1:73" ht="38.1" customHeight="1">
      <c r="A50" s="521" t="s">
        <v>98</v>
      </c>
      <c r="B50" s="449"/>
      <c r="C50" s="475"/>
      <c r="D50" s="445"/>
      <c r="E50" s="449"/>
      <c r="F50" s="449"/>
      <c r="G50" s="449"/>
      <c r="H50" s="377"/>
      <c r="I50" s="506" t="s">
        <v>235</v>
      </c>
      <c r="J50" s="497"/>
      <c r="K50" s="497"/>
      <c r="L50" s="497"/>
      <c r="M50" s="473"/>
      <c r="N50" s="473"/>
      <c r="O50" s="473"/>
      <c r="P50" s="377"/>
      <c r="Q50" s="377"/>
      <c r="R50" s="377"/>
      <c r="S50" s="377"/>
      <c r="T50" s="377"/>
      <c r="U50" s="377"/>
      <c r="V50" s="377"/>
      <c r="W50" s="377"/>
      <c r="X50" s="377"/>
      <c r="Y50" s="377"/>
      <c r="Z50" s="377"/>
      <c r="AA50" s="377"/>
      <c r="AB50" s="377"/>
      <c r="AC50" s="377"/>
      <c r="AD50" s="377"/>
      <c r="AE50" s="377"/>
      <c r="AF50" s="377"/>
      <c r="AG50" s="377"/>
      <c r="AH50" s="377"/>
      <c r="AI50" s="377"/>
      <c r="AJ50" s="377"/>
      <c r="AK50" s="408"/>
      <c r="AL50" s="408"/>
      <c r="AM50" s="377"/>
      <c r="AN50" s="377"/>
      <c r="AO50" s="377"/>
      <c r="AP50" s="377"/>
      <c r="AQ50" s="408"/>
      <c r="AR50" s="377"/>
      <c r="AS50" s="377"/>
      <c r="AT50" s="377"/>
      <c r="AU50" s="377"/>
      <c r="AV50" s="377"/>
      <c r="AW50" s="254"/>
      <c r="AX50" s="254"/>
      <c r="AY50" s="254"/>
      <c r="AZ50" s="254"/>
      <c r="BA50" s="254"/>
      <c r="BB50" s="254"/>
      <c r="BC50" s="254"/>
      <c r="BD50" s="254"/>
      <c r="BE50" s="254"/>
      <c r="BF50" s="254"/>
      <c r="BG50" s="254"/>
      <c r="BH50" s="254"/>
      <c r="BI50" s="254"/>
      <c r="BJ50" s="254"/>
      <c r="BK50" s="254"/>
      <c r="BL50" s="254"/>
      <c r="BM50" s="254"/>
      <c r="BN50" s="254"/>
      <c r="BO50" s="254"/>
      <c r="BP50" s="254"/>
      <c r="BQ50" s="254"/>
      <c r="BR50" s="254"/>
      <c r="BS50" s="254"/>
      <c r="BT50" s="254"/>
      <c r="BU50" s="254"/>
    </row>
    <row r="51" spans="1:73" ht="38.1" customHeight="1">
      <c r="A51" s="522" t="s">
        <v>99</v>
      </c>
      <c r="B51" s="445"/>
      <c r="C51" s="482" t="s">
        <v>180</v>
      </c>
      <c r="D51" s="445"/>
      <c r="E51" s="449"/>
      <c r="F51" s="449"/>
      <c r="G51" s="449"/>
      <c r="H51" s="377"/>
      <c r="I51" s="474"/>
      <c r="J51" s="474"/>
      <c r="K51" s="473"/>
      <c r="L51" s="473"/>
      <c r="M51" s="473"/>
      <c r="N51" s="473"/>
      <c r="O51" s="473"/>
      <c r="P51" s="377"/>
      <c r="Q51" s="377"/>
      <c r="R51" s="377"/>
      <c r="S51" s="377"/>
      <c r="T51" s="377"/>
      <c r="U51" s="377"/>
      <c r="V51" s="377"/>
      <c r="W51" s="377"/>
      <c r="X51" s="377"/>
      <c r="Y51" s="377"/>
      <c r="Z51" s="377"/>
      <c r="AA51" s="377"/>
      <c r="AB51" s="377"/>
      <c r="AC51" s="377"/>
      <c r="AD51" s="377"/>
      <c r="AE51" s="377"/>
      <c r="AF51" s="377"/>
      <c r="AG51" s="377"/>
      <c r="AH51" s="377"/>
      <c r="AI51" s="377"/>
      <c r="AJ51" s="377"/>
      <c r="AK51" s="408"/>
      <c r="AL51" s="408"/>
      <c r="AM51" s="377"/>
      <c r="AN51" s="377"/>
      <c r="AO51" s="377"/>
      <c r="AP51" s="377"/>
      <c r="AQ51" s="408"/>
      <c r="AR51" s="377"/>
      <c r="AS51" s="377"/>
      <c r="AT51" s="377"/>
      <c r="AU51" s="377"/>
      <c r="AV51" s="377"/>
      <c r="AW51" s="254"/>
      <c r="AX51" s="254"/>
      <c r="AY51" s="254"/>
      <c r="AZ51" s="254"/>
      <c r="BA51" s="254"/>
      <c r="BB51" s="254"/>
      <c r="BC51" s="254"/>
      <c r="BD51" s="254"/>
      <c r="BE51" s="254"/>
      <c r="BF51" s="254"/>
      <c r="BG51" s="254"/>
      <c r="BH51" s="254"/>
      <c r="BI51" s="254"/>
      <c r="BJ51" s="254"/>
      <c r="BK51" s="254"/>
      <c r="BL51" s="254"/>
      <c r="BM51" s="254"/>
      <c r="BN51" s="254"/>
      <c r="BO51" s="254"/>
      <c r="BP51" s="254"/>
      <c r="BQ51" s="254"/>
      <c r="BR51" s="254"/>
      <c r="BS51" s="254"/>
      <c r="BT51" s="254"/>
      <c r="BU51" s="254"/>
    </row>
    <row r="52" spans="1:73" ht="38.1" customHeight="1">
      <c r="A52" s="521" t="s">
        <v>100</v>
      </c>
      <c r="B52" s="445"/>
      <c r="C52" s="479" t="s">
        <v>157</v>
      </c>
      <c r="D52" s="449"/>
      <c r="E52" s="445"/>
      <c r="F52" s="445"/>
      <c r="G52" s="445" t="s">
        <v>41</v>
      </c>
      <c r="H52" s="377"/>
      <c r="I52" s="496" t="s">
        <v>192</v>
      </c>
      <c r="J52" s="506"/>
      <c r="K52" s="377"/>
      <c r="L52" s="377"/>
      <c r="M52" s="377"/>
      <c r="N52" s="377"/>
      <c r="O52" s="377"/>
      <c r="P52" s="377"/>
      <c r="Q52" s="377"/>
      <c r="R52" s="377"/>
      <c r="S52" s="377"/>
      <c r="T52" s="377"/>
      <c r="U52" s="377"/>
      <c r="V52" s="377"/>
      <c r="W52" s="377"/>
      <c r="X52" s="377"/>
      <c r="Y52" s="377"/>
      <c r="Z52" s="377"/>
      <c r="AA52" s="377"/>
      <c r="AB52" s="377"/>
      <c r="AC52" s="377"/>
      <c r="AD52" s="377"/>
      <c r="AE52" s="377"/>
      <c r="AF52" s="377"/>
      <c r="AG52" s="377"/>
      <c r="AH52" s="377"/>
      <c r="AI52" s="377"/>
      <c r="AJ52" s="377"/>
      <c r="AK52" s="408"/>
      <c r="AL52" s="408"/>
      <c r="AM52" s="377"/>
      <c r="AN52" s="377"/>
      <c r="AO52" s="377"/>
      <c r="AP52" s="377"/>
      <c r="AQ52" s="408"/>
      <c r="AR52" s="377"/>
      <c r="AS52" s="377"/>
      <c r="AT52" s="377"/>
      <c r="AU52" s="377"/>
      <c r="AV52" s="377"/>
      <c r="AW52" s="254"/>
      <c r="AX52" s="254"/>
      <c r="AY52" s="254"/>
      <c r="AZ52" s="254"/>
      <c r="BA52" s="254"/>
      <c r="BB52" s="254"/>
      <c r="BC52" s="254"/>
      <c r="BD52" s="254"/>
      <c r="BE52" s="254"/>
      <c r="BF52" s="254"/>
      <c r="BG52" s="254"/>
      <c r="BH52" s="254"/>
      <c r="BI52" s="254"/>
      <c r="BJ52" s="254"/>
      <c r="BK52" s="254"/>
      <c r="BL52" s="254"/>
      <c r="BM52" s="254"/>
      <c r="BN52" s="254"/>
      <c r="BO52" s="254"/>
      <c r="BP52" s="254"/>
      <c r="BQ52" s="254"/>
      <c r="BR52" s="254"/>
      <c r="BS52" s="254"/>
      <c r="BT52" s="254"/>
      <c r="BU52" s="254"/>
    </row>
    <row r="53" spans="1:73" ht="38.1" customHeight="1">
      <c r="A53" s="521" t="s">
        <v>101</v>
      </c>
      <c r="B53" s="445" t="s">
        <v>158</v>
      </c>
      <c r="C53" s="483"/>
      <c r="D53" s="453"/>
      <c r="E53" s="446"/>
      <c r="F53" s="458"/>
      <c r="G53" s="445" t="s">
        <v>117</v>
      </c>
      <c r="H53" s="377"/>
      <c r="I53" s="496" t="s">
        <v>193</v>
      </c>
      <c r="J53" s="506"/>
      <c r="K53" s="377"/>
      <c r="L53" s="377"/>
      <c r="M53" s="377"/>
      <c r="N53" s="377"/>
      <c r="O53" s="377"/>
      <c r="P53" s="377"/>
      <c r="Q53" s="377"/>
      <c r="R53" s="377"/>
      <c r="S53" s="377"/>
      <c r="T53" s="377"/>
      <c r="U53" s="377"/>
      <c r="V53" s="377"/>
      <c r="W53" s="377"/>
      <c r="X53" s="377"/>
      <c r="Y53" s="377"/>
      <c r="Z53" s="377"/>
      <c r="AA53" s="377"/>
      <c r="AB53" s="377"/>
      <c r="AC53" s="377"/>
      <c r="AD53" s="377"/>
      <c r="AE53" s="377"/>
      <c r="AF53" s="377"/>
      <c r="AG53" s="377"/>
      <c r="AH53" s="377"/>
      <c r="AI53" s="377"/>
      <c r="AJ53" s="377"/>
      <c r="AK53" s="408"/>
      <c r="AL53" s="408"/>
      <c r="AM53" s="377"/>
      <c r="AN53" s="377"/>
      <c r="AO53" s="377"/>
      <c r="AP53" s="377"/>
      <c r="AQ53" s="408"/>
      <c r="AR53" s="377"/>
      <c r="AS53" s="377"/>
      <c r="AT53" s="377"/>
      <c r="AU53" s="377"/>
      <c r="AV53" s="377"/>
      <c r="AW53" s="254"/>
      <c r="AX53" s="254"/>
      <c r="AY53" s="254"/>
      <c r="AZ53" s="254"/>
      <c r="BA53" s="254"/>
      <c r="BB53" s="254"/>
      <c r="BC53" s="254"/>
      <c r="BD53" s="254"/>
      <c r="BE53" s="254"/>
      <c r="BF53" s="254"/>
      <c r="BG53" s="254"/>
      <c r="BH53" s="254"/>
      <c r="BI53" s="254"/>
      <c r="BJ53" s="254"/>
      <c r="BK53" s="254"/>
      <c r="BL53" s="254"/>
      <c r="BM53" s="254"/>
      <c r="BN53" s="254"/>
      <c r="BO53" s="254"/>
      <c r="BP53" s="254"/>
      <c r="BQ53" s="254"/>
      <c r="BR53" s="254"/>
      <c r="BS53" s="254"/>
      <c r="BT53" s="254"/>
      <c r="BU53" s="254"/>
    </row>
    <row r="54" spans="1:73" ht="38.1" customHeight="1">
      <c r="A54" s="521" t="s">
        <v>102</v>
      </c>
      <c r="B54" s="445" t="s">
        <v>41</v>
      </c>
      <c r="C54" s="475"/>
      <c r="D54" s="449"/>
      <c r="E54" s="451" t="s">
        <v>179</v>
      </c>
      <c r="F54" s="453"/>
      <c r="G54" s="445"/>
      <c r="H54" s="377"/>
      <c r="I54" s="506" t="s">
        <v>194</v>
      </c>
      <c r="J54" s="506"/>
      <c r="K54" s="377"/>
      <c r="L54" s="377"/>
      <c r="M54" s="377"/>
      <c r="N54" s="377"/>
      <c r="O54" s="377"/>
      <c r="P54" s="377"/>
      <c r="Q54" s="377"/>
      <c r="R54" s="377"/>
      <c r="S54" s="377"/>
      <c r="T54" s="377"/>
      <c r="U54" s="377"/>
      <c r="V54" s="377"/>
      <c r="W54" s="377"/>
      <c r="X54" s="377"/>
      <c r="Y54" s="377"/>
      <c r="Z54" s="377"/>
      <c r="AA54" s="377"/>
      <c r="AB54" s="377"/>
      <c r="AC54" s="377"/>
      <c r="AD54" s="377"/>
      <c r="AE54" s="377"/>
      <c r="AF54" s="377"/>
      <c r="AG54" s="377"/>
      <c r="AH54" s="377"/>
      <c r="AI54" s="377"/>
      <c r="AJ54" s="377"/>
      <c r="AK54" s="408"/>
      <c r="AL54" s="408"/>
      <c r="AM54" s="377"/>
      <c r="AN54" s="377"/>
      <c r="AO54" s="377"/>
      <c r="AP54" s="377"/>
      <c r="AQ54" s="408"/>
      <c r="AR54" s="377"/>
      <c r="AS54" s="377"/>
      <c r="AT54" s="377"/>
      <c r="AU54" s="377"/>
      <c r="AV54" s="377"/>
      <c r="AW54" s="254"/>
      <c r="AX54" s="254"/>
      <c r="AY54" s="254"/>
      <c r="AZ54" s="254"/>
      <c r="BA54" s="254"/>
      <c r="BB54" s="254"/>
      <c r="BC54" s="254"/>
      <c r="BD54" s="254"/>
      <c r="BE54" s="254"/>
      <c r="BF54" s="254"/>
      <c r="BG54" s="254"/>
      <c r="BH54" s="254"/>
      <c r="BI54" s="254"/>
      <c r="BJ54" s="254"/>
      <c r="BK54" s="254"/>
      <c r="BL54" s="254"/>
      <c r="BM54" s="254"/>
      <c r="BN54" s="254"/>
      <c r="BO54" s="254"/>
      <c r="BP54" s="254"/>
      <c r="BQ54" s="254"/>
      <c r="BR54" s="254"/>
      <c r="BS54" s="254"/>
      <c r="BT54" s="254"/>
      <c r="BU54" s="254"/>
    </row>
    <row r="55" spans="1:73" ht="38.1" customHeight="1">
      <c r="A55" s="521" t="s">
        <v>103</v>
      </c>
      <c r="B55" s="445"/>
      <c r="C55" s="484" t="s">
        <v>177</v>
      </c>
      <c r="D55" s="458"/>
      <c r="E55" s="490"/>
      <c r="F55" s="445"/>
      <c r="G55" s="445"/>
      <c r="H55" s="377"/>
      <c r="I55" s="377"/>
      <c r="J55" s="377"/>
      <c r="K55" s="377"/>
      <c r="L55" s="377"/>
      <c r="M55" s="377"/>
      <c r="N55" s="377"/>
      <c r="O55" s="377"/>
      <c r="P55" s="377"/>
      <c r="Q55" s="377"/>
      <c r="R55" s="377"/>
      <c r="S55" s="377"/>
      <c r="T55" s="377"/>
      <c r="U55" s="377"/>
      <c r="V55" s="377"/>
      <c r="W55" s="377"/>
      <c r="X55" s="377"/>
      <c r="Y55" s="377"/>
      <c r="Z55" s="377"/>
      <c r="AA55" s="377"/>
      <c r="AB55" s="377"/>
      <c r="AC55" s="377"/>
      <c r="AD55" s="377"/>
      <c r="AE55" s="377"/>
      <c r="AF55" s="377"/>
      <c r="AG55" s="377"/>
      <c r="AH55" s="377"/>
      <c r="AI55" s="377"/>
      <c r="AJ55" s="377"/>
      <c r="AK55" s="408"/>
      <c r="AL55" s="408"/>
      <c r="AM55" s="377"/>
      <c r="AN55" s="377"/>
      <c r="AO55" s="377"/>
      <c r="AP55" s="377"/>
      <c r="AQ55" s="408"/>
      <c r="AR55" s="377"/>
      <c r="AS55" s="377"/>
      <c r="AT55" s="377"/>
      <c r="AU55" s="377"/>
      <c r="AV55" s="377"/>
      <c r="AW55" s="254"/>
      <c r="AX55" s="254"/>
      <c r="AY55" s="254"/>
      <c r="AZ55" s="254"/>
      <c r="BA55" s="254"/>
      <c r="BB55" s="254"/>
      <c r="BC55" s="254"/>
      <c r="BD55" s="254"/>
      <c r="BE55" s="254"/>
      <c r="BF55" s="254"/>
      <c r="BG55" s="254"/>
      <c r="BH55" s="254"/>
      <c r="BI55" s="254"/>
      <c r="BJ55" s="254"/>
      <c r="BK55" s="254"/>
      <c r="BL55" s="254"/>
      <c r="BM55" s="254"/>
      <c r="BN55" s="254"/>
      <c r="BO55" s="254"/>
      <c r="BP55" s="254"/>
      <c r="BQ55" s="254"/>
      <c r="BR55" s="254"/>
      <c r="BS55" s="254"/>
      <c r="BT55" s="254"/>
      <c r="BU55" s="254"/>
    </row>
    <row r="56" spans="1:73" ht="38.1" customHeight="1">
      <c r="A56" s="521" t="s">
        <v>104</v>
      </c>
      <c r="B56" s="445"/>
      <c r="C56" s="479" t="s">
        <v>159</v>
      </c>
      <c r="D56" s="449"/>
      <c r="E56" s="445"/>
      <c r="F56" s="445"/>
      <c r="G56" s="445"/>
      <c r="H56" s="377"/>
      <c r="I56" s="496" t="s">
        <v>195</v>
      </c>
      <c r="J56" s="377"/>
      <c r="K56" s="377"/>
      <c r="L56" s="377"/>
      <c r="M56" s="377"/>
      <c r="N56" s="377"/>
      <c r="O56" s="377"/>
      <c r="P56" s="377"/>
      <c r="Q56" s="377"/>
      <c r="R56" s="377"/>
      <c r="S56" s="377"/>
      <c r="T56" s="377"/>
      <c r="U56" s="377"/>
      <c r="V56" s="377"/>
      <c r="W56" s="377"/>
      <c r="X56" s="377"/>
      <c r="Y56" s="377"/>
      <c r="Z56" s="377"/>
      <c r="AA56" s="377"/>
      <c r="AB56" s="377"/>
      <c r="AC56" s="377"/>
      <c r="AD56" s="377"/>
      <c r="AE56" s="377"/>
      <c r="AF56" s="377"/>
      <c r="AG56" s="377"/>
      <c r="AH56" s="377"/>
      <c r="AI56" s="377"/>
      <c r="AJ56" s="377"/>
      <c r="AK56" s="408"/>
      <c r="AL56" s="408"/>
      <c r="AM56" s="377"/>
      <c r="AN56" s="377"/>
      <c r="AO56" s="377"/>
      <c r="AP56" s="377"/>
      <c r="AQ56" s="408"/>
      <c r="AR56" s="377"/>
      <c r="AS56" s="377"/>
      <c r="AT56" s="377"/>
      <c r="AU56" s="377"/>
      <c r="AV56" s="377"/>
      <c r="AW56" s="254"/>
      <c r="AX56" s="254"/>
      <c r="AY56" s="254"/>
      <c r="AZ56" s="254"/>
      <c r="BA56" s="254"/>
      <c r="BB56" s="254"/>
      <c r="BC56" s="254"/>
      <c r="BD56" s="254"/>
      <c r="BE56" s="254"/>
      <c r="BF56" s="254"/>
      <c r="BG56" s="254"/>
      <c r="BH56" s="254"/>
      <c r="BI56" s="254"/>
      <c r="BJ56" s="254"/>
      <c r="BK56" s="254"/>
      <c r="BL56" s="254"/>
      <c r="BM56" s="254"/>
      <c r="BN56" s="254"/>
      <c r="BO56" s="254"/>
      <c r="BP56" s="254"/>
      <c r="BQ56" s="254"/>
      <c r="BR56" s="254"/>
      <c r="BS56" s="254"/>
      <c r="BT56" s="254"/>
      <c r="BU56" s="254"/>
    </row>
    <row r="57" spans="1:73" ht="38.1" customHeight="1">
      <c r="A57" s="521" t="s">
        <v>105</v>
      </c>
      <c r="B57" s="445"/>
      <c r="C57" s="481"/>
      <c r="D57" s="449"/>
      <c r="E57" s="445"/>
      <c r="F57" s="445"/>
      <c r="G57" s="445"/>
      <c r="H57" s="377"/>
      <c r="I57" s="496"/>
      <c r="J57" s="377"/>
      <c r="K57" s="377"/>
      <c r="L57" s="377"/>
      <c r="M57" s="377"/>
      <c r="N57" s="377"/>
      <c r="O57" s="377"/>
      <c r="P57" s="377"/>
      <c r="Q57" s="377"/>
      <c r="R57" s="377"/>
      <c r="S57" s="377"/>
      <c r="T57" s="377"/>
      <c r="U57" s="377"/>
      <c r="V57" s="377"/>
      <c r="W57" s="377"/>
      <c r="X57" s="377"/>
      <c r="Y57" s="377"/>
      <c r="Z57" s="377"/>
      <c r="AA57" s="377"/>
      <c r="AB57" s="377"/>
      <c r="AC57" s="377"/>
      <c r="AD57" s="377"/>
      <c r="AE57" s="377"/>
      <c r="AF57" s="377"/>
      <c r="AG57" s="377"/>
      <c r="AH57" s="377"/>
      <c r="AI57" s="377"/>
      <c r="AJ57" s="377"/>
      <c r="AK57" s="408"/>
      <c r="AL57" s="408"/>
      <c r="AM57" s="377"/>
      <c r="AN57" s="377"/>
      <c r="AO57" s="377"/>
      <c r="AP57" s="377"/>
      <c r="AQ57" s="408"/>
      <c r="AR57" s="377"/>
      <c r="AS57" s="377"/>
      <c r="AT57" s="377"/>
      <c r="AU57" s="377"/>
      <c r="AV57" s="377"/>
      <c r="AW57" s="254"/>
      <c r="AX57" s="254"/>
      <c r="AY57" s="254"/>
      <c r="AZ57" s="254"/>
      <c r="BA57" s="254"/>
      <c r="BB57" s="254"/>
      <c r="BC57" s="254"/>
      <c r="BD57" s="254"/>
      <c r="BE57" s="254"/>
      <c r="BF57" s="254"/>
      <c r="BG57" s="254"/>
      <c r="BH57" s="254"/>
      <c r="BI57" s="254"/>
      <c r="BJ57" s="254"/>
      <c r="BK57" s="254"/>
      <c r="BL57" s="254"/>
      <c r="BM57" s="254"/>
      <c r="BN57" s="254"/>
      <c r="BO57" s="254"/>
      <c r="BP57" s="254"/>
      <c r="BQ57" s="254"/>
      <c r="BR57" s="254"/>
      <c r="BS57" s="254"/>
      <c r="BT57" s="254"/>
      <c r="BU57" s="254"/>
    </row>
    <row r="58" spans="1:73" ht="38.1" customHeight="1">
      <c r="A58" s="521" t="s">
        <v>106</v>
      </c>
      <c r="B58" s="445" t="str">
        <f>A20</f>
        <v>Brown</v>
      </c>
      <c r="C58" s="475"/>
      <c r="D58" s="445"/>
      <c r="E58" s="445"/>
      <c r="F58" s="445"/>
      <c r="G58" s="445"/>
      <c r="H58" s="377"/>
      <c r="I58" s="496" t="s">
        <v>234</v>
      </c>
      <c r="J58" s="377"/>
      <c r="K58" s="377"/>
      <c r="L58" s="377"/>
      <c r="M58" s="377"/>
      <c r="N58" s="377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377"/>
      <c r="AJ58" s="377"/>
      <c r="AK58" s="408"/>
      <c r="AL58" s="408"/>
      <c r="AM58" s="377"/>
      <c r="AN58" s="377"/>
      <c r="AO58" s="377"/>
      <c r="AP58" s="377"/>
      <c r="AQ58" s="408"/>
      <c r="AR58" s="377"/>
      <c r="AS58" s="377"/>
      <c r="AT58" s="377"/>
      <c r="AU58" s="377"/>
      <c r="AV58" s="377"/>
      <c r="AW58" s="254"/>
      <c r="AX58" s="254"/>
      <c r="AY58" s="254"/>
      <c r="AZ58" s="254"/>
      <c r="BA58" s="254"/>
      <c r="BB58" s="254"/>
      <c r="BC58" s="254"/>
      <c r="BD58" s="254"/>
      <c r="BE58" s="254"/>
      <c r="BF58" s="254"/>
      <c r="BG58" s="254"/>
      <c r="BH58" s="254"/>
      <c r="BI58" s="254"/>
      <c r="BJ58" s="254"/>
      <c r="BK58" s="254"/>
      <c r="BL58" s="254"/>
      <c r="BM58" s="254"/>
      <c r="BN58" s="254"/>
      <c r="BO58" s="254"/>
      <c r="BP58" s="254"/>
      <c r="BQ58" s="254"/>
      <c r="BR58" s="254"/>
      <c r="BS58" s="254"/>
      <c r="BT58" s="254"/>
      <c r="BU58" s="254"/>
    </row>
    <row r="59" spans="1:73" ht="38.1" customHeight="1">
      <c r="A59" s="521" t="s">
        <v>107</v>
      </c>
      <c r="B59" s="446"/>
      <c r="C59" s="475"/>
      <c r="D59" s="445"/>
      <c r="E59" s="445" t="s">
        <v>29</v>
      </c>
      <c r="F59" s="445"/>
      <c r="G59" s="445"/>
      <c r="H59" s="377"/>
      <c r="I59" s="377"/>
      <c r="J59" s="377"/>
      <c r="K59" s="377"/>
      <c r="L59" s="377"/>
      <c r="M59" s="377"/>
      <c r="N59" s="377"/>
      <c r="O59" s="377"/>
      <c r="P59" s="377"/>
      <c r="Q59" s="377"/>
      <c r="R59" s="377"/>
      <c r="S59" s="377"/>
      <c r="T59" s="377"/>
      <c r="U59" s="377"/>
      <c r="V59" s="377"/>
      <c r="W59" s="377"/>
      <c r="X59" s="377"/>
      <c r="Y59" s="377"/>
      <c r="Z59" s="377"/>
      <c r="AA59" s="377"/>
      <c r="AB59" s="377"/>
      <c r="AC59" s="377"/>
      <c r="AD59" s="377"/>
      <c r="AE59" s="377"/>
      <c r="AF59" s="377"/>
      <c r="AG59" s="377"/>
      <c r="AH59" s="377"/>
      <c r="AI59" s="377"/>
      <c r="AJ59" s="377"/>
      <c r="AK59" s="408"/>
      <c r="AL59" s="408"/>
      <c r="AM59" s="377"/>
      <c r="AN59" s="377"/>
      <c r="AO59" s="377"/>
      <c r="AP59" s="377"/>
      <c r="AQ59" s="408"/>
      <c r="AR59" s="377"/>
      <c r="AS59" s="377"/>
      <c r="AT59" s="377"/>
      <c r="AU59" s="377"/>
      <c r="AV59" s="377"/>
      <c r="AW59" s="254"/>
      <c r="AX59" s="254"/>
      <c r="AY59" s="254"/>
      <c r="AZ59" s="254"/>
      <c r="BA59" s="254"/>
      <c r="BB59" s="254"/>
      <c r="BC59" s="254"/>
      <c r="BD59" s="254"/>
      <c r="BE59" s="254"/>
      <c r="BF59" s="254"/>
      <c r="BG59" s="254"/>
      <c r="BH59" s="254"/>
      <c r="BI59" s="254"/>
      <c r="BJ59" s="254"/>
      <c r="BK59" s="254"/>
      <c r="BL59" s="254"/>
      <c r="BM59" s="254"/>
      <c r="BN59" s="254"/>
      <c r="BO59" s="254"/>
      <c r="BP59" s="254"/>
      <c r="BQ59" s="254"/>
      <c r="BR59" s="254"/>
      <c r="BS59" s="254"/>
      <c r="BT59" s="254"/>
      <c r="BU59" s="254"/>
    </row>
    <row r="60" spans="1:73" ht="38.1" customHeight="1">
      <c r="A60" s="520" t="s">
        <v>108</v>
      </c>
      <c r="B60" s="451" t="s">
        <v>181</v>
      </c>
      <c r="C60" s="475"/>
      <c r="D60" s="445"/>
      <c r="E60" s="445"/>
      <c r="F60" s="445"/>
      <c r="G60" s="445"/>
      <c r="H60" s="377"/>
      <c r="I60" s="377"/>
      <c r="J60" s="377"/>
      <c r="K60" s="377"/>
      <c r="L60" s="377"/>
      <c r="M60" s="377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  <c r="AA60" s="377"/>
      <c r="AB60" s="377"/>
      <c r="AC60" s="377"/>
      <c r="AD60" s="377"/>
      <c r="AE60" s="377"/>
      <c r="AF60" s="377"/>
      <c r="AG60" s="377"/>
      <c r="AH60" s="377"/>
      <c r="AI60" s="377"/>
      <c r="AJ60" s="377"/>
      <c r="AK60" s="408"/>
      <c r="AL60" s="408"/>
      <c r="AM60" s="377"/>
      <c r="AN60" s="377"/>
      <c r="AO60" s="377"/>
      <c r="AP60" s="377"/>
      <c r="AQ60" s="408"/>
      <c r="AR60" s="377"/>
      <c r="AS60" s="377"/>
      <c r="AT60" s="377"/>
      <c r="AU60" s="377"/>
      <c r="AV60" s="377"/>
      <c r="AW60" s="254"/>
      <c r="AX60" s="254"/>
      <c r="AY60" s="254"/>
      <c r="AZ60" s="254"/>
      <c r="BA60" s="254"/>
      <c r="BB60" s="254"/>
      <c r="BC60" s="254"/>
      <c r="BD60" s="254"/>
      <c r="BE60" s="254"/>
      <c r="BF60" s="254"/>
      <c r="BG60" s="254"/>
      <c r="BH60" s="254"/>
      <c r="BI60" s="254"/>
      <c r="BJ60" s="254"/>
      <c r="BK60" s="254"/>
      <c r="BL60" s="254"/>
      <c r="BM60" s="254"/>
      <c r="BN60" s="254"/>
      <c r="BO60" s="254"/>
      <c r="BP60" s="254"/>
      <c r="BQ60" s="254"/>
      <c r="BR60" s="254"/>
      <c r="BS60" s="254"/>
      <c r="BT60" s="254"/>
      <c r="BU60" s="254"/>
    </row>
    <row r="61" spans="1:73" ht="38.1" customHeight="1">
      <c r="A61" s="521" t="s">
        <v>109</v>
      </c>
      <c r="B61" s="447" t="s">
        <v>160</v>
      </c>
      <c r="C61" s="477"/>
      <c r="D61" s="445"/>
      <c r="E61" s="445"/>
      <c r="F61" s="445"/>
      <c r="G61" s="445"/>
      <c r="H61" s="377"/>
      <c r="I61" s="377"/>
      <c r="J61" s="377"/>
      <c r="K61" s="377"/>
      <c r="L61" s="377"/>
      <c r="M61" s="377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  <c r="AA61" s="377"/>
      <c r="AB61" s="377"/>
      <c r="AC61" s="377"/>
      <c r="AD61" s="377"/>
      <c r="AE61" s="377"/>
      <c r="AF61" s="377"/>
      <c r="AG61" s="377"/>
      <c r="AH61" s="377"/>
      <c r="AI61" s="377"/>
      <c r="AJ61" s="377"/>
      <c r="AK61" s="408"/>
      <c r="AL61" s="408"/>
      <c r="AM61" s="377"/>
      <c r="AN61" s="377"/>
      <c r="AO61" s="377"/>
      <c r="AP61" s="377"/>
      <c r="AQ61" s="408"/>
      <c r="AR61" s="377"/>
      <c r="AS61" s="377"/>
      <c r="AT61" s="377"/>
      <c r="AU61" s="377"/>
      <c r="AV61" s="377"/>
      <c r="AW61" s="254"/>
      <c r="AX61" s="254"/>
      <c r="AY61" s="254"/>
      <c r="AZ61" s="254"/>
      <c r="BA61" s="254"/>
      <c r="BB61" s="254"/>
      <c r="BC61" s="254"/>
      <c r="BD61" s="254"/>
      <c r="BE61" s="254"/>
      <c r="BF61" s="254"/>
      <c r="BG61" s="254"/>
      <c r="BH61" s="254"/>
      <c r="BI61" s="254"/>
      <c r="BJ61" s="254"/>
      <c r="BK61" s="254"/>
      <c r="BL61" s="254"/>
      <c r="BM61" s="254"/>
      <c r="BN61" s="254"/>
      <c r="BO61" s="254"/>
      <c r="BP61" s="254"/>
      <c r="BQ61" s="254"/>
      <c r="BR61" s="254"/>
      <c r="BS61" s="254"/>
      <c r="BT61" s="254"/>
      <c r="BU61" s="254"/>
    </row>
    <row r="62" spans="1:73" ht="38.1" customHeight="1">
      <c r="A62" s="521" t="s">
        <v>110</v>
      </c>
      <c r="B62" s="448" t="str">
        <f>A27</f>
        <v>Anast</v>
      </c>
      <c r="C62" s="478" t="s">
        <v>172</v>
      </c>
      <c r="D62" s="449"/>
      <c r="E62" s="445"/>
      <c r="F62" s="445"/>
      <c r="G62" s="445"/>
      <c r="H62" s="377"/>
      <c r="I62" s="377"/>
      <c r="J62" s="377"/>
      <c r="K62" s="377"/>
      <c r="L62" s="377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  <c r="AD62" s="377"/>
      <c r="AE62" s="377"/>
      <c r="AF62" s="377"/>
      <c r="AG62" s="377"/>
      <c r="AH62" s="377"/>
      <c r="AI62" s="377"/>
      <c r="AJ62" s="377"/>
      <c r="AK62" s="408"/>
      <c r="AL62" s="408"/>
      <c r="AM62" s="377"/>
      <c r="AN62" s="377"/>
      <c r="AO62" s="377"/>
      <c r="AP62" s="377"/>
      <c r="AQ62" s="408"/>
      <c r="AR62" s="377"/>
      <c r="AS62" s="377"/>
      <c r="AT62" s="377"/>
      <c r="AU62" s="377"/>
      <c r="AV62" s="377"/>
      <c r="AW62" s="254"/>
      <c r="AX62" s="254"/>
      <c r="AY62" s="254"/>
      <c r="AZ62" s="254"/>
      <c r="BA62" s="254"/>
      <c r="BB62" s="254"/>
      <c r="BC62" s="254"/>
      <c r="BD62" s="254"/>
      <c r="BE62" s="254"/>
      <c r="BF62" s="254"/>
      <c r="BG62" s="254"/>
      <c r="BH62" s="254"/>
      <c r="BI62" s="254"/>
      <c r="BJ62" s="254"/>
      <c r="BK62" s="254"/>
      <c r="BL62" s="254"/>
      <c r="BM62" s="254"/>
      <c r="BN62" s="254"/>
      <c r="BO62" s="254"/>
      <c r="BP62" s="254"/>
      <c r="BQ62" s="254"/>
      <c r="BR62" s="254"/>
      <c r="BS62" s="254"/>
      <c r="BT62" s="254"/>
      <c r="BU62" s="254"/>
    </row>
    <row r="63" spans="1:73" ht="38.1" customHeight="1">
      <c r="A63" s="521" t="s">
        <v>111</v>
      </c>
      <c r="B63" s="445" t="str">
        <f>A23</f>
        <v>Matyskiela</v>
      </c>
      <c r="C63" s="479" t="s">
        <v>40</v>
      </c>
      <c r="D63" s="450"/>
      <c r="E63" s="446"/>
      <c r="F63" s="445"/>
      <c r="G63" s="445"/>
      <c r="H63" s="377"/>
      <c r="I63" s="377"/>
      <c r="J63" s="377"/>
      <c r="K63" s="377"/>
      <c r="L63" s="377"/>
      <c r="M63" s="377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  <c r="AA63" s="377"/>
      <c r="AB63" s="377"/>
      <c r="AC63" s="377"/>
      <c r="AD63" s="377"/>
      <c r="AE63" s="377"/>
      <c r="AF63" s="377"/>
      <c r="AG63" s="377"/>
      <c r="AH63" s="377"/>
      <c r="AI63" s="377"/>
      <c r="AJ63" s="377"/>
      <c r="AK63" s="408"/>
      <c r="AL63" s="408"/>
      <c r="AM63" s="377"/>
      <c r="AN63" s="377"/>
      <c r="AO63" s="377"/>
      <c r="AP63" s="377"/>
      <c r="AQ63" s="408"/>
      <c r="AR63" s="377"/>
      <c r="AS63" s="377"/>
      <c r="AT63" s="377"/>
      <c r="AU63" s="377"/>
      <c r="AV63" s="377"/>
      <c r="AW63" s="254"/>
      <c r="AX63" s="254"/>
      <c r="AY63" s="254"/>
      <c r="AZ63" s="254"/>
      <c r="BA63" s="254"/>
      <c r="BB63" s="254"/>
      <c r="BC63" s="254"/>
      <c r="BD63" s="254"/>
      <c r="BE63" s="254"/>
      <c r="BF63" s="254"/>
      <c r="BG63" s="254"/>
      <c r="BH63" s="254"/>
      <c r="BI63" s="254"/>
      <c r="BJ63" s="254"/>
      <c r="BK63" s="254"/>
      <c r="BL63" s="254"/>
      <c r="BM63" s="254"/>
      <c r="BN63" s="254"/>
      <c r="BO63" s="254"/>
      <c r="BP63" s="254"/>
      <c r="BQ63" s="254"/>
      <c r="BR63" s="254"/>
      <c r="BS63" s="254"/>
      <c r="BT63" s="254"/>
      <c r="BU63" s="254"/>
    </row>
    <row r="64" spans="1:73" ht="38.1" customHeight="1">
      <c r="A64" s="521" t="s">
        <v>112</v>
      </c>
      <c r="B64" s="450"/>
      <c r="C64" s="480"/>
      <c r="D64" s="449"/>
      <c r="E64" s="451"/>
      <c r="F64" s="445"/>
      <c r="G64" s="445"/>
      <c r="H64" s="377"/>
      <c r="I64" s="377"/>
      <c r="J64" s="377"/>
      <c r="K64" s="377"/>
      <c r="L64" s="377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  <c r="AD64" s="377"/>
      <c r="AE64" s="377"/>
      <c r="AF64" s="377"/>
      <c r="AG64" s="377"/>
      <c r="AH64" s="377"/>
      <c r="AI64" s="377"/>
      <c r="AJ64" s="377"/>
      <c r="AK64" s="408"/>
      <c r="AL64" s="408"/>
      <c r="AM64" s="377"/>
      <c r="AN64" s="377"/>
      <c r="AO64" s="377"/>
      <c r="AP64" s="377"/>
      <c r="AQ64" s="408"/>
      <c r="AR64" s="377"/>
      <c r="AS64" s="377"/>
      <c r="AT64" s="377"/>
      <c r="AU64" s="377"/>
      <c r="AV64" s="377"/>
      <c r="AW64" s="254"/>
      <c r="AX64" s="254"/>
      <c r="AY64" s="254"/>
      <c r="AZ64" s="254"/>
      <c r="BA64" s="254"/>
      <c r="BB64" s="254"/>
      <c r="BC64" s="254"/>
      <c r="BD64" s="254"/>
      <c r="BE64" s="254"/>
      <c r="BF64" s="254"/>
      <c r="BG64" s="254"/>
      <c r="BH64" s="254"/>
      <c r="BI64" s="254"/>
      <c r="BJ64" s="254"/>
      <c r="BK64" s="254"/>
      <c r="BL64" s="254"/>
      <c r="BM64" s="254"/>
      <c r="BN64" s="254"/>
      <c r="BO64" s="254"/>
      <c r="BP64" s="254"/>
      <c r="BQ64" s="254"/>
      <c r="BR64" s="254"/>
      <c r="BS64" s="254"/>
      <c r="BT64" s="254"/>
      <c r="BU64" s="254"/>
    </row>
    <row r="65" spans="1:73" ht="38.1" customHeight="1">
      <c r="A65" s="521" t="s">
        <v>113</v>
      </c>
      <c r="B65" s="451" t="s">
        <v>182</v>
      </c>
      <c r="C65" s="481"/>
      <c r="D65" s="449"/>
      <c r="E65" s="451"/>
      <c r="F65" s="445"/>
      <c r="G65" s="445" t="s">
        <v>161</v>
      </c>
      <c r="H65" s="377"/>
      <c r="I65" s="377"/>
      <c r="J65" s="377"/>
      <c r="K65" s="377"/>
      <c r="L65" s="377"/>
      <c r="M65" s="377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  <c r="AC65" s="377"/>
      <c r="AD65" s="377"/>
      <c r="AE65" s="377"/>
      <c r="AF65" s="377"/>
      <c r="AG65" s="377"/>
      <c r="AH65" s="377"/>
      <c r="AI65" s="377"/>
      <c r="AJ65" s="377"/>
      <c r="AK65" s="408"/>
      <c r="AL65" s="408"/>
      <c r="AM65" s="377"/>
      <c r="AN65" s="377"/>
      <c r="AO65" s="377"/>
      <c r="AP65" s="377"/>
      <c r="AQ65" s="408"/>
      <c r="AR65" s="377"/>
      <c r="AS65" s="377"/>
      <c r="AT65" s="377"/>
      <c r="AU65" s="377"/>
      <c r="AV65" s="377"/>
      <c r="AW65" s="254"/>
      <c r="AX65" s="254"/>
      <c r="AY65" s="254"/>
      <c r="AZ65" s="254"/>
      <c r="BA65" s="254"/>
      <c r="BB65" s="254"/>
      <c r="BC65" s="254"/>
      <c r="BD65" s="254"/>
      <c r="BE65" s="254"/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</row>
    <row r="66" spans="1:73" ht="38.1" customHeight="1">
      <c r="A66" s="521" t="s">
        <v>114</v>
      </c>
      <c r="B66" s="447" t="s">
        <v>160</v>
      </c>
      <c r="C66" s="462"/>
      <c r="D66" s="449"/>
      <c r="E66" s="451" t="s">
        <v>183</v>
      </c>
      <c r="F66" s="453"/>
      <c r="G66" s="474"/>
      <c r="H66" s="377"/>
      <c r="I66" s="377"/>
      <c r="J66" s="377"/>
      <c r="K66" s="377"/>
      <c r="L66" s="377"/>
      <c r="M66" s="377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  <c r="AC66" s="377"/>
      <c r="AD66" s="377"/>
      <c r="AE66" s="377"/>
      <c r="AF66" s="377"/>
      <c r="AG66" s="377"/>
      <c r="AH66" s="377"/>
      <c r="AI66" s="377"/>
      <c r="AJ66" s="377"/>
      <c r="AK66" s="408"/>
      <c r="AL66" s="408"/>
      <c r="AM66" s="377"/>
      <c r="AN66" s="377"/>
      <c r="AO66" s="377"/>
      <c r="AP66" s="377"/>
      <c r="AQ66" s="408"/>
      <c r="AR66" s="377"/>
      <c r="AS66" s="377"/>
      <c r="AT66" s="377"/>
      <c r="AU66" s="377"/>
      <c r="AV66" s="377"/>
      <c r="AW66" s="254"/>
      <c r="AX66" s="254"/>
      <c r="AY66" s="254"/>
      <c r="AZ66" s="254"/>
      <c r="BA66" s="254"/>
      <c r="BB66" s="254"/>
      <c r="BC66" s="254"/>
      <c r="BD66" s="254"/>
      <c r="BE66" s="254"/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</row>
    <row r="67" spans="1:73" ht="38.1" customHeight="1">
      <c r="A67" s="522" t="s">
        <v>115</v>
      </c>
      <c r="B67" s="448" t="str">
        <f>A24</f>
        <v>Carson</v>
      </c>
      <c r="C67" s="475"/>
      <c r="D67" s="449"/>
      <c r="E67" s="451"/>
      <c r="F67" s="454"/>
      <c r="G67" s="445"/>
      <c r="H67" s="377"/>
      <c r="I67" s="377"/>
      <c r="J67" s="377"/>
      <c r="K67" s="377"/>
      <c r="L67" s="377"/>
      <c r="M67" s="377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  <c r="AC67" s="377"/>
      <c r="AD67" s="377"/>
      <c r="AE67" s="377"/>
      <c r="AF67" s="377"/>
      <c r="AG67" s="377"/>
      <c r="AH67" s="377"/>
      <c r="AI67" s="377"/>
      <c r="AJ67" s="377"/>
      <c r="AK67" s="408"/>
      <c r="AL67" s="408"/>
      <c r="AM67" s="377"/>
      <c r="AN67" s="377"/>
      <c r="AO67" s="377"/>
      <c r="AP67" s="377"/>
      <c r="AQ67" s="408"/>
      <c r="AR67" s="377"/>
      <c r="AS67" s="377"/>
      <c r="AT67" s="377"/>
      <c r="AU67" s="377"/>
      <c r="AV67" s="377"/>
      <c r="AW67" s="254"/>
      <c r="AX67" s="254"/>
      <c r="AY67" s="254"/>
      <c r="AZ67" s="254"/>
      <c r="BA67" s="254"/>
      <c r="BB67" s="254"/>
      <c r="BC67" s="254"/>
      <c r="BD67" s="254"/>
      <c r="BE67" s="254"/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</row>
    <row r="68" spans="1:73" ht="38.1" customHeight="1">
      <c r="A68" s="521"/>
      <c r="B68" s="445" t="str">
        <f>A21</f>
        <v>Watson</v>
      </c>
      <c r="C68" s="475"/>
      <c r="D68" s="449"/>
      <c r="E68" s="451"/>
      <c r="F68" s="458"/>
      <c r="G68" s="445" t="s">
        <v>162</v>
      </c>
      <c r="H68" s="377"/>
      <c r="I68" s="377"/>
      <c r="J68" s="377"/>
      <c r="K68" s="377"/>
      <c r="L68" s="377"/>
      <c r="M68" s="377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  <c r="AC68" s="377"/>
      <c r="AD68" s="377"/>
      <c r="AE68" s="377"/>
      <c r="AF68" s="377"/>
      <c r="AG68" s="377"/>
      <c r="AH68" s="377"/>
      <c r="AI68" s="377"/>
      <c r="AJ68" s="377"/>
      <c r="AK68" s="408"/>
      <c r="AL68" s="408"/>
      <c r="AM68" s="377"/>
      <c r="AN68" s="377"/>
      <c r="AO68" s="377"/>
      <c r="AP68" s="377"/>
      <c r="AQ68" s="408"/>
      <c r="AR68" s="377"/>
      <c r="AS68" s="377"/>
      <c r="AT68" s="377"/>
      <c r="AU68" s="377"/>
      <c r="AV68" s="377"/>
      <c r="AW68" s="254"/>
      <c r="AX68" s="254"/>
      <c r="AY68" s="254"/>
      <c r="AZ68" s="254"/>
      <c r="BA68" s="254"/>
      <c r="BB68" s="254"/>
      <c r="BC68" s="254"/>
      <c r="BD68" s="254"/>
      <c r="BE68" s="254"/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</row>
    <row r="69" spans="1:73" ht="38.1" customHeight="1">
      <c r="A69" s="521"/>
      <c r="B69" s="446"/>
      <c r="C69" s="475"/>
      <c r="D69" s="449"/>
      <c r="E69" s="449"/>
      <c r="F69" s="454"/>
      <c r="G69" s="445"/>
      <c r="H69" s="377"/>
      <c r="I69" s="377"/>
      <c r="J69" s="377"/>
      <c r="K69" s="377"/>
      <c r="L69" s="377"/>
      <c r="M69" s="377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  <c r="AC69" s="377"/>
      <c r="AD69" s="377"/>
      <c r="AE69" s="377"/>
      <c r="AF69" s="377"/>
      <c r="AG69" s="377"/>
      <c r="AH69" s="377"/>
      <c r="AI69" s="377"/>
      <c r="AJ69" s="377"/>
      <c r="AK69" s="408"/>
      <c r="AL69" s="408"/>
      <c r="AM69" s="377"/>
      <c r="AN69" s="377"/>
      <c r="AO69" s="377"/>
      <c r="AP69" s="377"/>
      <c r="AQ69" s="408"/>
      <c r="AR69" s="377"/>
      <c r="AS69" s="377"/>
      <c r="AT69" s="377"/>
      <c r="AU69" s="377"/>
      <c r="AV69" s="377"/>
      <c r="AW69" s="254"/>
      <c r="AX69" s="254"/>
      <c r="AY69" s="254"/>
      <c r="AZ69" s="254"/>
      <c r="BA69" s="254"/>
      <c r="BB69" s="254"/>
      <c r="BC69" s="254"/>
      <c r="BD69" s="254"/>
      <c r="BE69" s="254"/>
      <c r="BF69" s="254"/>
      <c r="BG69" s="254"/>
      <c r="BH69" s="254"/>
      <c r="BI69" s="254"/>
      <c r="BJ69" s="254"/>
      <c r="BK69" s="254"/>
      <c r="BL69" s="254"/>
      <c r="BM69" s="254"/>
      <c r="BN69" s="254"/>
      <c r="BO69" s="254"/>
      <c r="BP69" s="254"/>
      <c r="BQ69" s="254"/>
      <c r="BR69" s="254"/>
      <c r="BS69" s="254"/>
      <c r="BT69" s="254"/>
      <c r="BU69" s="254"/>
    </row>
    <row r="70" spans="1:73" ht="38.1" customHeight="1">
      <c r="A70" s="521"/>
      <c r="B70" s="451" t="s">
        <v>173</v>
      </c>
      <c r="C70" s="475"/>
      <c r="D70" s="449"/>
      <c r="E70" s="449"/>
      <c r="F70" s="454"/>
      <c r="G70" s="445"/>
      <c r="H70" s="377"/>
      <c r="I70" s="377"/>
      <c r="J70" s="377"/>
      <c r="K70" s="377"/>
      <c r="L70" s="377"/>
      <c r="M70" s="377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  <c r="AC70" s="377"/>
      <c r="AD70" s="377"/>
      <c r="AE70" s="377"/>
      <c r="AF70" s="377"/>
      <c r="AG70" s="377"/>
      <c r="AH70" s="377"/>
      <c r="AI70" s="377"/>
      <c r="AJ70" s="377"/>
      <c r="AK70" s="408"/>
      <c r="AL70" s="408"/>
      <c r="AM70" s="377"/>
      <c r="AN70" s="377"/>
      <c r="AO70" s="377"/>
      <c r="AP70" s="377"/>
      <c r="AQ70" s="408"/>
      <c r="AR70" s="377"/>
      <c r="AS70" s="377"/>
      <c r="AT70" s="377"/>
      <c r="AU70" s="377"/>
      <c r="AV70" s="377"/>
      <c r="AW70" s="254"/>
      <c r="AX70" s="254"/>
      <c r="AY70" s="254"/>
      <c r="AZ70" s="254"/>
      <c r="BA70" s="254"/>
      <c r="BB70" s="254"/>
      <c r="BC70" s="254"/>
      <c r="BD70" s="254"/>
      <c r="BE70" s="254"/>
      <c r="BF70" s="254"/>
      <c r="BG70" s="254"/>
      <c r="BH70" s="254"/>
      <c r="BI70" s="254"/>
      <c r="BJ70" s="254"/>
      <c r="BK70" s="254"/>
      <c r="BL70" s="254"/>
      <c r="BM70" s="254"/>
      <c r="BN70" s="254"/>
      <c r="BO70" s="254"/>
      <c r="BP70" s="254"/>
      <c r="BQ70" s="254"/>
      <c r="BR70" s="254"/>
      <c r="BS70" s="254"/>
      <c r="BT70" s="254"/>
      <c r="BU70" s="254"/>
    </row>
    <row r="71" spans="1:73" ht="38.1" customHeight="1">
      <c r="A71" s="521"/>
      <c r="B71" s="447" t="s">
        <v>42</v>
      </c>
      <c r="C71" s="477"/>
      <c r="D71" s="455"/>
      <c r="E71" s="455"/>
      <c r="F71" s="454"/>
      <c r="G71" s="445"/>
      <c r="H71" s="377"/>
      <c r="I71" s="377"/>
      <c r="J71" s="377"/>
      <c r="K71" s="377"/>
      <c r="L71" s="377"/>
      <c r="M71" s="377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  <c r="AC71" s="377"/>
      <c r="AD71" s="377"/>
      <c r="AE71" s="377"/>
      <c r="AF71" s="377"/>
      <c r="AG71" s="377"/>
      <c r="AH71" s="377"/>
      <c r="AI71" s="377"/>
      <c r="AJ71" s="377"/>
      <c r="AK71" s="408"/>
      <c r="AL71" s="408"/>
      <c r="AM71" s="377"/>
      <c r="AN71" s="377"/>
      <c r="AO71" s="377"/>
      <c r="AP71" s="377"/>
      <c r="AQ71" s="408"/>
      <c r="AR71" s="377"/>
      <c r="AS71" s="377"/>
      <c r="AT71" s="377"/>
      <c r="AU71" s="377"/>
      <c r="AV71" s="377"/>
      <c r="AW71" s="254"/>
      <c r="AX71" s="254"/>
      <c r="AY71" s="254"/>
      <c r="AZ71" s="254"/>
      <c r="BA71" s="254"/>
      <c r="BB71" s="254"/>
      <c r="BC71" s="254"/>
      <c r="BD71" s="254"/>
      <c r="BE71" s="254"/>
      <c r="BF71" s="254"/>
      <c r="BG71" s="254"/>
      <c r="BH71" s="254"/>
      <c r="BI71" s="254"/>
      <c r="BJ71" s="254"/>
      <c r="BK71" s="254"/>
      <c r="BL71" s="254"/>
      <c r="BM71" s="254"/>
      <c r="BN71" s="254"/>
      <c r="BO71" s="254"/>
      <c r="BP71" s="254"/>
      <c r="BQ71" s="254"/>
      <c r="BR71" s="254"/>
      <c r="BS71" s="254"/>
      <c r="BT71" s="254"/>
      <c r="BU71" s="254"/>
    </row>
    <row r="72" spans="1:73" ht="38.1" customHeight="1">
      <c r="A72" s="521"/>
      <c r="B72" s="448" t="str">
        <f>A26</f>
        <v>Woods</v>
      </c>
      <c r="C72" s="478" t="s">
        <v>181</v>
      </c>
      <c r="D72" s="449"/>
      <c r="E72" s="449"/>
      <c r="F72" s="449"/>
      <c r="G72" s="445"/>
      <c r="H72" s="377"/>
      <c r="I72" s="377"/>
      <c r="J72" s="377"/>
      <c r="K72" s="377"/>
      <c r="L72" s="377"/>
      <c r="M72" s="377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  <c r="AC72" s="377"/>
      <c r="AD72" s="377"/>
      <c r="AE72" s="377"/>
      <c r="AF72" s="377"/>
      <c r="AG72" s="377"/>
      <c r="AH72" s="377"/>
      <c r="AI72" s="377"/>
      <c r="AJ72" s="377"/>
      <c r="AK72" s="408"/>
      <c r="AL72" s="408"/>
      <c r="AM72" s="377"/>
      <c r="AN72" s="377"/>
      <c r="AO72" s="377"/>
      <c r="AP72" s="377"/>
      <c r="AQ72" s="408"/>
      <c r="AR72" s="377"/>
      <c r="AS72" s="377"/>
      <c r="AT72" s="377"/>
      <c r="AU72" s="377"/>
      <c r="AV72" s="377"/>
      <c r="AW72" s="254"/>
      <c r="AX72" s="254"/>
      <c r="AY72" s="254"/>
      <c r="AZ72" s="254"/>
      <c r="BA72" s="254"/>
      <c r="BB72" s="254"/>
      <c r="BC72" s="254"/>
      <c r="BD72" s="254"/>
      <c r="BE72" s="254"/>
      <c r="BF72" s="254"/>
      <c r="BG72" s="254"/>
      <c r="BH72" s="254"/>
      <c r="BI72" s="254"/>
      <c r="BJ72" s="254"/>
      <c r="BK72" s="254"/>
      <c r="BL72" s="254"/>
      <c r="BM72" s="254"/>
      <c r="BN72" s="254"/>
      <c r="BO72" s="254"/>
      <c r="BP72" s="254"/>
      <c r="BQ72" s="254"/>
      <c r="BR72" s="254"/>
      <c r="BS72" s="254"/>
      <c r="BT72" s="254"/>
      <c r="BU72" s="254"/>
    </row>
    <row r="73" spans="1:73" ht="38.1" customHeight="1">
      <c r="A73" s="519"/>
      <c r="B73" s="445" t="str">
        <f>A22</f>
        <v>Hollingsworth</v>
      </c>
      <c r="C73" s="479" t="s">
        <v>40</v>
      </c>
      <c r="D73" s="449"/>
      <c r="E73" s="449"/>
      <c r="F73" s="445"/>
      <c r="G73" s="445"/>
      <c r="H73" s="377"/>
      <c r="I73" s="377"/>
      <c r="J73" s="377"/>
      <c r="K73" s="377"/>
      <c r="L73" s="377"/>
      <c r="M73" s="377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  <c r="AC73" s="377"/>
      <c r="AD73" s="377"/>
      <c r="AE73" s="377"/>
      <c r="AF73" s="377"/>
      <c r="AG73" s="377"/>
      <c r="AH73" s="377"/>
      <c r="AI73" s="377"/>
      <c r="AJ73" s="377"/>
      <c r="AK73" s="408"/>
      <c r="AL73" s="408"/>
      <c r="AM73" s="377"/>
      <c r="AN73" s="377"/>
      <c r="AO73" s="377"/>
      <c r="AP73" s="377"/>
      <c r="AQ73" s="408"/>
      <c r="AR73" s="377"/>
      <c r="AS73" s="377"/>
      <c r="AT73" s="377"/>
      <c r="AU73" s="377"/>
      <c r="AV73" s="377"/>
      <c r="AW73" s="254"/>
      <c r="AX73" s="254"/>
      <c r="AY73" s="254"/>
      <c r="AZ73" s="254"/>
      <c r="BA73" s="254"/>
      <c r="BB73" s="254"/>
      <c r="BC73" s="254"/>
      <c r="BD73" s="254"/>
      <c r="BE73" s="254"/>
      <c r="BF73" s="254"/>
      <c r="BG73" s="254"/>
      <c r="BH73" s="254"/>
      <c r="BI73" s="254"/>
      <c r="BJ73" s="254"/>
      <c r="BK73" s="254"/>
      <c r="BL73" s="254"/>
      <c r="BM73" s="254"/>
      <c r="BN73" s="254"/>
      <c r="BO73" s="254"/>
      <c r="BP73" s="254"/>
      <c r="BQ73" s="254"/>
      <c r="BR73" s="254"/>
      <c r="BS73" s="254"/>
      <c r="BT73" s="254"/>
      <c r="BU73" s="254"/>
    </row>
    <row r="74" spans="1:73" ht="38.1" customHeight="1">
      <c r="A74" s="519"/>
      <c r="B74" s="446"/>
      <c r="C74" s="478"/>
      <c r="D74" s="449"/>
      <c r="E74" s="449"/>
      <c r="F74" s="445"/>
      <c r="G74" s="445"/>
      <c r="H74" s="377"/>
      <c r="I74" s="377"/>
      <c r="J74" s="377"/>
      <c r="K74" s="377"/>
      <c r="L74" s="377"/>
      <c r="M74" s="377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  <c r="AC74" s="377"/>
      <c r="AD74" s="377"/>
      <c r="AE74" s="377"/>
      <c r="AF74" s="377"/>
      <c r="AG74" s="377"/>
      <c r="AH74" s="377"/>
      <c r="AI74" s="377"/>
      <c r="AJ74" s="377"/>
      <c r="AK74" s="408"/>
      <c r="AL74" s="408"/>
      <c r="AM74" s="377"/>
      <c r="AN74" s="377"/>
      <c r="AO74" s="377"/>
      <c r="AP74" s="377"/>
      <c r="AQ74" s="408"/>
      <c r="AR74" s="377"/>
      <c r="AS74" s="377"/>
      <c r="AT74" s="377"/>
      <c r="AU74" s="377"/>
      <c r="AV74" s="377"/>
      <c r="AW74" s="254"/>
      <c r="AX74" s="254"/>
      <c r="AY74" s="254"/>
      <c r="AZ74" s="254"/>
      <c r="BA74" s="254"/>
      <c r="BB74" s="254"/>
      <c r="BC74" s="254"/>
      <c r="BD74" s="254"/>
      <c r="BE74" s="254"/>
      <c r="BF74" s="254"/>
      <c r="BG74" s="254"/>
      <c r="BH74" s="254"/>
      <c r="BI74" s="254"/>
      <c r="BJ74" s="254"/>
      <c r="BK74" s="254"/>
      <c r="BL74" s="254"/>
      <c r="BM74" s="254"/>
      <c r="BN74" s="254"/>
      <c r="BO74" s="254"/>
      <c r="BP74" s="254"/>
      <c r="BQ74" s="254"/>
      <c r="BR74" s="254"/>
      <c r="BS74" s="254"/>
      <c r="BT74" s="254"/>
      <c r="BU74" s="254"/>
    </row>
    <row r="75" spans="1:73" ht="38.1" customHeight="1">
      <c r="A75" s="519"/>
      <c r="B75" s="451" t="s">
        <v>170</v>
      </c>
      <c r="C75" s="481"/>
      <c r="D75" s="449"/>
      <c r="E75" s="449"/>
      <c r="F75" s="449"/>
      <c r="G75" s="449"/>
      <c r="H75" s="377"/>
      <c r="I75" s="377"/>
      <c r="J75" s="377"/>
      <c r="K75" s="377"/>
      <c r="L75" s="377"/>
      <c r="M75" s="377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  <c r="AC75" s="377"/>
      <c r="AD75" s="377"/>
      <c r="AE75" s="377"/>
      <c r="AF75" s="377"/>
      <c r="AG75" s="377"/>
      <c r="AH75" s="377"/>
      <c r="AI75" s="377"/>
      <c r="AJ75" s="377"/>
      <c r="AK75" s="408"/>
      <c r="AL75" s="408"/>
      <c r="AM75" s="377"/>
      <c r="AN75" s="377"/>
      <c r="AO75" s="377"/>
      <c r="AP75" s="377"/>
      <c r="AQ75" s="408"/>
      <c r="AR75" s="377"/>
      <c r="AS75" s="377"/>
      <c r="AT75" s="377"/>
      <c r="AU75" s="377"/>
      <c r="AV75" s="377"/>
      <c r="AW75" s="254"/>
      <c r="AX75" s="254"/>
      <c r="AY75" s="254"/>
      <c r="AZ75" s="254"/>
      <c r="BA75" s="254"/>
      <c r="BB75" s="254"/>
      <c r="BC75" s="254"/>
      <c r="BD75" s="254"/>
      <c r="BE75" s="254"/>
      <c r="BF75" s="254"/>
      <c r="BG75" s="254"/>
      <c r="BH75" s="254"/>
      <c r="BI75" s="254"/>
      <c r="BJ75" s="254"/>
      <c r="BK75" s="254"/>
      <c r="BL75" s="254"/>
      <c r="BM75" s="254"/>
      <c r="BN75" s="254"/>
      <c r="BO75" s="254"/>
      <c r="BP75" s="254"/>
      <c r="BQ75" s="254"/>
      <c r="BR75" s="254"/>
      <c r="BS75" s="254"/>
      <c r="BT75" s="254"/>
      <c r="BU75" s="254"/>
    </row>
    <row r="76" spans="1:73" ht="38.1" customHeight="1">
      <c r="A76" s="519"/>
      <c r="B76" s="447" t="s">
        <v>42</v>
      </c>
      <c r="C76" s="475"/>
      <c r="D76" s="445"/>
      <c r="E76" s="449"/>
      <c r="F76" s="449"/>
      <c r="G76" s="449"/>
      <c r="H76" s="377"/>
      <c r="I76" s="377"/>
      <c r="J76" s="377"/>
      <c r="K76" s="377"/>
      <c r="L76" s="377"/>
      <c r="M76" s="377"/>
      <c r="N76" s="377"/>
      <c r="O76" s="377"/>
      <c r="P76" s="377"/>
      <c r="Q76" s="377"/>
      <c r="R76" s="377"/>
      <c r="S76" s="377"/>
      <c r="T76" s="377"/>
      <c r="U76" s="377"/>
      <c r="V76" s="377"/>
      <c r="W76" s="377"/>
      <c r="X76" s="377"/>
      <c r="Y76" s="377"/>
      <c r="Z76" s="377"/>
      <c r="AA76" s="377"/>
      <c r="AB76" s="377"/>
      <c r="AC76" s="377"/>
      <c r="AD76" s="377"/>
      <c r="AE76" s="377"/>
      <c r="AF76" s="377"/>
      <c r="AG76" s="377"/>
      <c r="AH76" s="377"/>
      <c r="AI76" s="377"/>
      <c r="AJ76" s="377"/>
      <c r="AK76" s="408"/>
      <c r="AL76" s="408"/>
      <c r="AM76" s="377"/>
      <c r="AN76" s="377"/>
      <c r="AO76" s="377"/>
      <c r="AP76" s="377"/>
      <c r="AQ76" s="408"/>
      <c r="AR76" s="377"/>
      <c r="AS76" s="377"/>
      <c r="AT76" s="377"/>
      <c r="AU76" s="377"/>
      <c r="AV76" s="377"/>
      <c r="AW76" s="254"/>
      <c r="AX76" s="254"/>
      <c r="AY76" s="254"/>
      <c r="AZ76" s="254"/>
      <c r="BA76" s="254"/>
      <c r="BB76" s="254"/>
      <c r="BC76" s="254"/>
      <c r="BD76" s="254"/>
      <c r="BE76" s="254"/>
      <c r="BF76" s="254"/>
      <c r="BG76" s="254"/>
      <c r="BH76" s="254"/>
      <c r="BI76" s="254"/>
      <c r="BJ76" s="254"/>
      <c r="BK76" s="254"/>
      <c r="BL76" s="254"/>
      <c r="BM76" s="254"/>
      <c r="BN76" s="254"/>
      <c r="BO76" s="254"/>
      <c r="BP76" s="254"/>
      <c r="BQ76" s="254"/>
      <c r="BR76" s="254"/>
      <c r="BS76" s="254"/>
      <c r="BT76" s="254"/>
      <c r="BU76" s="254"/>
    </row>
    <row r="77" spans="1:73" ht="38.1" customHeight="1">
      <c r="A77" s="519"/>
      <c r="B77" s="448" t="str">
        <f>A25</f>
        <v>Jones</v>
      </c>
      <c r="C77" s="475"/>
      <c r="D77" s="445"/>
      <c r="E77" s="449"/>
      <c r="F77" s="449"/>
      <c r="G77" s="449"/>
      <c r="H77" s="377"/>
      <c r="I77" s="377"/>
      <c r="J77" s="377"/>
      <c r="K77" s="377"/>
      <c r="L77" s="377"/>
      <c r="M77" s="377"/>
      <c r="N77" s="377"/>
      <c r="O77" s="377"/>
      <c r="P77" s="377"/>
      <c r="Q77" s="377"/>
      <c r="R77" s="377"/>
      <c r="S77" s="377"/>
      <c r="T77" s="377"/>
      <c r="U77" s="377"/>
      <c r="V77" s="377"/>
      <c r="W77" s="377"/>
      <c r="X77" s="377"/>
      <c r="Y77" s="377"/>
      <c r="Z77" s="377"/>
      <c r="AA77" s="377"/>
      <c r="AB77" s="377"/>
      <c r="AC77" s="377"/>
      <c r="AD77" s="377"/>
      <c r="AE77" s="377"/>
      <c r="AF77" s="377"/>
      <c r="AG77" s="377"/>
      <c r="AH77" s="377"/>
      <c r="AI77" s="377"/>
      <c r="AJ77" s="377"/>
      <c r="AK77" s="408"/>
      <c r="AL77" s="408"/>
      <c r="AM77" s="377"/>
      <c r="AN77" s="377"/>
      <c r="AO77" s="377"/>
      <c r="AP77" s="377"/>
      <c r="AQ77" s="408"/>
      <c r="AR77" s="377"/>
      <c r="AS77" s="377"/>
      <c r="AT77" s="377"/>
      <c r="AU77" s="377"/>
      <c r="AV77" s="377"/>
      <c r="AW77" s="254"/>
      <c r="AX77" s="254"/>
      <c r="AY77" s="254"/>
      <c r="AZ77" s="254"/>
      <c r="BA77" s="254"/>
      <c r="BB77" s="254"/>
      <c r="BC77" s="254"/>
      <c r="BD77" s="254"/>
      <c r="BE77" s="254"/>
      <c r="BF77" s="254"/>
      <c r="BG77" s="254"/>
      <c r="BH77" s="254"/>
      <c r="BI77" s="254"/>
      <c r="BJ77" s="254"/>
      <c r="BK77" s="254"/>
      <c r="BL77" s="254"/>
      <c r="BM77" s="254"/>
      <c r="BN77" s="254"/>
      <c r="BO77" s="254"/>
      <c r="BP77" s="254"/>
      <c r="BQ77" s="254"/>
      <c r="BR77" s="254"/>
      <c r="BS77" s="254"/>
      <c r="BT77" s="254"/>
      <c r="BU77" s="254"/>
    </row>
    <row r="78" spans="1:73" ht="38.1" customHeight="1">
      <c r="A78" s="519"/>
      <c r="B78" s="449"/>
      <c r="C78" s="475"/>
      <c r="D78" s="445"/>
      <c r="E78" s="449"/>
      <c r="F78" s="449"/>
      <c r="G78" s="449"/>
      <c r="H78" s="377"/>
      <c r="I78" s="377"/>
      <c r="J78" s="377"/>
      <c r="K78" s="377"/>
      <c r="L78" s="377"/>
      <c r="M78" s="377"/>
      <c r="N78" s="377"/>
      <c r="O78" s="377"/>
      <c r="P78" s="377"/>
      <c r="Q78" s="377"/>
      <c r="R78" s="377"/>
      <c r="S78" s="377"/>
      <c r="T78" s="377"/>
      <c r="U78" s="377"/>
      <c r="V78" s="377"/>
      <c r="W78" s="377"/>
      <c r="X78" s="377"/>
      <c r="Y78" s="377"/>
      <c r="Z78" s="377"/>
      <c r="AA78" s="377"/>
      <c r="AB78" s="377"/>
      <c r="AC78" s="377"/>
      <c r="AD78" s="377"/>
      <c r="AE78" s="377"/>
      <c r="AF78" s="377"/>
      <c r="AG78" s="377"/>
      <c r="AH78" s="377"/>
      <c r="AI78" s="377"/>
      <c r="AJ78" s="377"/>
      <c r="AK78" s="408"/>
      <c r="AL78" s="408"/>
      <c r="AM78" s="377"/>
      <c r="AN78" s="377"/>
      <c r="AO78" s="377"/>
      <c r="AP78" s="377"/>
      <c r="AQ78" s="408"/>
      <c r="AR78" s="377"/>
      <c r="AS78" s="377"/>
      <c r="AT78" s="377"/>
      <c r="AU78" s="377"/>
      <c r="AV78" s="377"/>
      <c r="AW78" s="254"/>
      <c r="AX78" s="254"/>
      <c r="AY78" s="254"/>
      <c r="AZ78" s="254"/>
      <c r="BA78" s="254"/>
      <c r="BB78" s="254"/>
      <c r="BC78" s="254"/>
      <c r="BD78" s="254"/>
      <c r="BE78" s="254"/>
      <c r="BF78" s="254"/>
      <c r="BG78" s="254"/>
      <c r="BH78" s="254"/>
      <c r="BI78" s="254"/>
      <c r="BJ78" s="254"/>
      <c r="BK78" s="254"/>
      <c r="BL78" s="254"/>
      <c r="BM78" s="254"/>
      <c r="BN78" s="254"/>
      <c r="BO78" s="254"/>
      <c r="BP78" s="254"/>
      <c r="BQ78" s="254"/>
      <c r="BR78" s="254"/>
      <c r="BS78" s="254"/>
      <c r="BT78" s="254"/>
      <c r="BU78" s="254"/>
    </row>
    <row r="79" spans="1:73" ht="38.1" customHeight="1">
      <c r="A79" s="519"/>
      <c r="B79" s="445"/>
      <c r="C79" s="482" t="s">
        <v>169</v>
      </c>
      <c r="D79" s="445"/>
      <c r="E79" s="449"/>
      <c r="F79" s="449"/>
      <c r="G79" s="449"/>
      <c r="H79" s="377"/>
      <c r="I79" s="377"/>
      <c r="J79" s="377"/>
      <c r="K79" s="377"/>
      <c r="L79" s="377"/>
      <c r="M79" s="377"/>
      <c r="N79" s="377"/>
      <c r="O79" s="377"/>
      <c r="P79" s="377"/>
      <c r="Q79" s="377"/>
      <c r="R79" s="377"/>
      <c r="S79" s="377"/>
      <c r="T79" s="377"/>
      <c r="U79" s="377"/>
      <c r="V79" s="377"/>
      <c r="W79" s="377"/>
      <c r="X79" s="377"/>
      <c r="Y79" s="377"/>
      <c r="Z79" s="377"/>
      <c r="AA79" s="377"/>
      <c r="AB79" s="377"/>
      <c r="AC79" s="377"/>
      <c r="AD79" s="377"/>
      <c r="AE79" s="377"/>
      <c r="AF79" s="377"/>
      <c r="AG79" s="377"/>
      <c r="AH79" s="377"/>
      <c r="AI79" s="377"/>
      <c r="AJ79" s="377"/>
      <c r="AK79" s="408"/>
      <c r="AL79" s="408"/>
      <c r="AM79" s="377"/>
      <c r="AN79" s="377"/>
      <c r="AO79" s="377"/>
      <c r="AP79" s="377"/>
      <c r="AQ79" s="408"/>
      <c r="AR79" s="377"/>
      <c r="AS79" s="377"/>
      <c r="AT79" s="377"/>
      <c r="AU79" s="377"/>
      <c r="AV79" s="377"/>
      <c r="AW79" s="254"/>
      <c r="AX79" s="254"/>
      <c r="AY79" s="254"/>
      <c r="AZ79" s="254"/>
      <c r="BA79" s="254"/>
      <c r="BB79" s="254"/>
      <c r="BC79" s="254"/>
      <c r="BD79" s="254"/>
      <c r="BE79" s="254"/>
      <c r="BF79" s="254"/>
      <c r="BG79" s="254"/>
      <c r="BH79" s="254"/>
      <c r="BI79" s="254"/>
      <c r="BJ79" s="254"/>
      <c r="BK79" s="254"/>
      <c r="BL79" s="254"/>
      <c r="BM79" s="254"/>
      <c r="BN79" s="254"/>
      <c r="BO79" s="254"/>
      <c r="BP79" s="254"/>
      <c r="BQ79" s="254"/>
      <c r="BR79" s="254"/>
      <c r="BS79" s="254"/>
      <c r="BT79" s="254"/>
      <c r="BU79" s="254"/>
    </row>
    <row r="80" spans="1:73" ht="38.1" customHeight="1">
      <c r="A80" s="519"/>
      <c r="B80" s="445"/>
      <c r="C80" s="479" t="s">
        <v>43</v>
      </c>
      <c r="D80" s="449"/>
      <c r="E80" s="445"/>
      <c r="F80" s="445"/>
      <c r="G80" s="445" t="s">
        <v>41</v>
      </c>
      <c r="H80" s="377"/>
      <c r="I80" s="377"/>
      <c r="J80" s="377"/>
      <c r="K80" s="377"/>
      <c r="L80" s="377"/>
      <c r="M80" s="377"/>
      <c r="N80" s="377"/>
      <c r="O80" s="377"/>
      <c r="P80" s="377"/>
      <c r="Q80" s="377"/>
      <c r="R80" s="377"/>
      <c r="S80" s="377"/>
      <c r="T80" s="377"/>
      <c r="U80" s="377"/>
      <c r="V80" s="377"/>
      <c r="W80" s="377"/>
      <c r="X80" s="377"/>
      <c r="Y80" s="377"/>
      <c r="Z80" s="377"/>
      <c r="AA80" s="377"/>
      <c r="AB80" s="377"/>
      <c r="AC80" s="377"/>
      <c r="AD80" s="377"/>
      <c r="AE80" s="377"/>
      <c r="AF80" s="377"/>
      <c r="AG80" s="377"/>
      <c r="AH80" s="377"/>
      <c r="AI80" s="377"/>
      <c r="AJ80" s="377"/>
      <c r="AK80" s="408"/>
      <c r="AL80" s="408"/>
      <c r="AM80" s="377"/>
      <c r="AN80" s="377"/>
      <c r="AO80" s="377"/>
      <c r="AP80" s="377"/>
      <c r="AQ80" s="408"/>
      <c r="AR80" s="377"/>
      <c r="AS80" s="377"/>
      <c r="AT80" s="377"/>
      <c r="AU80" s="377"/>
      <c r="AV80" s="377"/>
      <c r="AW80" s="254"/>
      <c r="AX80" s="254"/>
      <c r="AY80" s="254"/>
      <c r="AZ80" s="254"/>
      <c r="BA80" s="254"/>
      <c r="BB80" s="254"/>
      <c r="BC80" s="254"/>
      <c r="BD80" s="254"/>
      <c r="BE80" s="254"/>
      <c r="BF80" s="254"/>
      <c r="BG80" s="254"/>
      <c r="BH80" s="254"/>
      <c r="BI80" s="254"/>
      <c r="BJ80" s="254"/>
      <c r="BK80" s="254"/>
      <c r="BL80" s="254"/>
      <c r="BM80" s="254"/>
      <c r="BN80" s="254"/>
      <c r="BO80" s="254"/>
      <c r="BP80" s="254"/>
      <c r="BQ80" s="254"/>
      <c r="BR80" s="254"/>
      <c r="BS80" s="254"/>
      <c r="BT80" s="254"/>
      <c r="BU80" s="254"/>
    </row>
    <row r="81" spans="1:73" ht="38.1" customHeight="1">
      <c r="A81" s="519"/>
      <c r="B81" s="445" t="s">
        <v>44</v>
      </c>
      <c r="C81" s="485"/>
      <c r="D81" s="453"/>
      <c r="E81" s="446"/>
      <c r="F81" s="458"/>
      <c r="G81" s="445" t="s">
        <v>117</v>
      </c>
      <c r="H81" s="377"/>
      <c r="I81" s="377"/>
      <c r="J81" s="377"/>
      <c r="K81" s="377"/>
      <c r="L81" s="377"/>
      <c r="M81" s="377"/>
      <c r="N81" s="377"/>
      <c r="O81" s="377"/>
      <c r="P81" s="377"/>
      <c r="Q81" s="377"/>
      <c r="R81" s="377"/>
      <c r="S81" s="377"/>
      <c r="T81" s="377"/>
      <c r="U81" s="377"/>
      <c r="V81" s="377"/>
      <c r="W81" s="377"/>
      <c r="X81" s="377"/>
      <c r="Y81" s="377"/>
      <c r="Z81" s="377"/>
      <c r="AA81" s="377"/>
      <c r="AB81" s="377"/>
      <c r="AC81" s="377"/>
      <c r="AD81" s="377"/>
      <c r="AE81" s="377"/>
      <c r="AF81" s="377"/>
      <c r="AG81" s="377"/>
      <c r="AH81" s="377"/>
      <c r="AI81" s="377"/>
      <c r="AJ81" s="377"/>
      <c r="AK81" s="408"/>
      <c r="AL81" s="408"/>
      <c r="AM81" s="377"/>
      <c r="AN81" s="377"/>
      <c r="AO81" s="377"/>
      <c r="AP81" s="377"/>
      <c r="AQ81" s="408"/>
      <c r="AR81" s="377"/>
      <c r="AS81" s="377"/>
      <c r="AT81" s="377"/>
      <c r="AU81" s="377"/>
      <c r="AV81" s="377"/>
      <c r="AW81" s="254"/>
      <c r="AX81" s="254"/>
      <c r="AY81" s="254"/>
      <c r="AZ81" s="254"/>
      <c r="BA81" s="254"/>
      <c r="BB81" s="254"/>
      <c r="BC81" s="254"/>
      <c r="BD81" s="254"/>
      <c r="BE81" s="254"/>
      <c r="BF81" s="254"/>
      <c r="BG81" s="254"/>
      <c r="BH81" s="254"/>
      <c r="BI81" s="254"/>
      <c r="BJ81" s="254"/>
      <c r="BK81" s="254"/>
      <c r="BL81" s="254"/>
      <c r="BM81" s="254"/>
      <c r="BN81" s="254"/>
      <c r="BO81" s="254"/>
      <c r="BP81" s="254"/>
      <c r="BQ81" s="254"/>
      <c r="BR81" s="254"/>
      <c r="BS81" s="254"/>
      <c r="BT81" s="254"/>
      <c r="BU81" s="254"/>
    </row>
    <row r="82" spans="1:73" ht="38.1" customHeight="1">
      <c r="A82" s="519"/>
      <c r="B82" s="445" t="s">
        <v>41</v>
      </c>
      <c r="C82" s="475"/>
      <c r="D82" s="449"/>
      <c r="E82" s="451" t="s">
        <v>172</v>
      </c>
      <c r="F82" s="453"/>
      <c r="G82" s="445"/>
      <c r="H82" s="377"/>
      <c r="I82" s="377"/>
      <c r="J82" s="377"/>
      <c r="K82" s="377"/>
      <c r="L82" s="377"/>
      <c r="M82" s="377"/>
      <c r="N82" s="377"/>
      <c r="O82" s="377"/>
      <c r="P82" s="377"/>
      <c r="Q82" s="377"/>
      <c r="R82" s="377"/>
      <c r="S82" s="377"/>
      <c r="T82" s="377"/>
      <c r="U82" s="377"/>
      <c r="V82" s="377"/>
      <c r="W82" s="377"/>
      <c r="X82" s="377"/>
      <c r="Y82" s="377"/>
      <c r="Z82" s="377"/>
      <c r="AA82" s="377"/>
      <c r="AB82" s="377"/>
      <c r="AC82" s="377"/>
      <c r="AD82" s="377"/>
      <c r="AE82" s="377"/>
      <c r="AF82" s="377"/>
      <c r="AG82" s="377"/>
      <c r="AH82" s="377"/>
      <c r="AI82" s="377"/>
      <c r="AJ82" s="377"/>
      <c r="AK82" s="408"/>
      <c r="AL82" s="408"/>
      <c r="AM82" s="377"/>
      <c r="AN82" s="377"/>
      <c r="AO82" s="377"/>
      <c r="AP82" s="377"/>
      <c r="AQ82" s="408"/>
      <c r="AR82" s="377"/>
      <c r="AS82" s="377"/>
      <c r="AT82" s="377"/>
      <c r="AU82" s="377"/>
      <c r="AV82" s="377"/>
      <c r="AW82" s="254"/>
      <c r="AX82" s="254"/>
      <c r="AY82" s="254"/>
      <c r="AZ82" s="254"/>
      <c r="BA82" s="254"/>
      <c r="BB82" s="254"/>
      <c r="BC82" s="254"/>
      <c r="BD82" s="254"/>
      <c r="BE82" s="254"/>
      <c r="BF82" s="254"/>
      <c r="BG82" s="254"/>
      <c r="BH82" s="254"/>
      <c r="BI82" s="254"/>
      <c r="BJ82" s="254"/>
      <c r="BK82" s="254"/>
      <c r="BL82" s="254"/>
      <c r="BM82" s="254"/>
      <c r="BN82" s="254"/>
      <c r="BO82" s="254"/>
      <c r="BP82" s="254"/>
      <c r="BQ82" s="254"/>
      <c r="BR82" s="254"/>
      <c r="BS82" s="254"/>
      <c r="BT82" s="254"/>
      <c r="BU82" s="254"/>
    </row>
    <row r="83" spans="1:73" ht="38.1" customHeight="1">
      <c r="A83" s="519"/>
      <c r="B83" s="445"/>
      <c r="C83" s="486" t="s">
        <v>182</v>
      </c>
      <c r="D83" s="458"/>
      <c r="E83" s="448"/>
      <c r="F83" s="445"/>
      <c r="G83" s="445"/>
      <c r="H83" s="377"/>
      <c r="I83" s="377"/>
      <c r="J83" s="377"/>
      <c r="K83" s="377"/>
      <c r="L83" s="377"/>
      <c r="M83" s="377"/>
      <c r="N83" s="377"/>
      <c r="O83" s="377"/>
      <c r="P83" s="377"/>
      <c r="Q83" s="377"/>
      <c r="R83" s="377"/>
      <c r="S83" s="377"/>
      <c r="T83" s="377"/>
      <c r="U83" s="377"/>
      <c r="V83" s="377"/>
      <c r="W83" s="377"/>
      <c r="X83" s="377"/>
      <c r="Y83" s="377"/>
      <c r="Z83" s="377"/>
      <c r="AA83" s="377"/>
      <c r="AB83" s="377"/>
      <c r="AC83" s="377"/>
      <c r="AD83" s="377"/>
      <c r="AE83" s="377"/>
      <c r="AF83" s="377"/>
      <c r="AG83" s="377"/>
      <c r="AH83" s="377"/>
      <c r="AI83" s="377"/>
      <c r="AJ83" s="377"/>
      <c r="AK83" s="408"/>
      <c r="AL83" s="408"/>
      <c r="AM83" s="377"/>
      <c r="AN83" s="377"/>
      <c r="AO83" s="377"/>
      <c r="AP83" s="377"/>
      <c r="AQ83" s="408"/>
      <c r="AR83" s="377"/>
      <c r="AS83" s="377"/>
      <c r="AT83" s="377"/>
      <c r="AU83" s="377"/>
      <c r="AV83" s="377"/>
      <c r="AW83" s="254"/>
      <c r="AX83" s="254"/>
      <c r="AY83" s="254"/>
      <c r="AZ83" s="254"/>
      <c r="BA83" s="254"/>
      <c r="BB83" s="254"/>
      <c r="BC83" s="254"/>
      <c r="BD83" s="254"/>
      <c r="BE83" s="254"/>
      <c r="BF83" s="254"/>
      <c r="BG83" s="254"/>
      <c r="BH83" s="254"/>
      <c r="BI83" s="254"/>
      <c r="BJ83" s="254"/>
      <c r="BK83" s="254"/>
      <c r="BL83" s="254"/>
      <c r="BM83" s="254"/>
      <c r="BN83" s="254"/>
      <c r="BO83" s="254"/>
      <c r="BP83" s="254"/>
      <c r="BQ83" s="254"/>
      <c r="BR83" s="254"/>
      <c r="BS83" s="254"/>
      <c r="BT83" s="254"/>
      <c r="BU83" s="254"/>
    </row>
    <row r="84" spans="1:73" ht="38.1" customHeight="1">
      <c r="A84" s="519"/>
      <c r="B84" s="445"/>
      <c r="C84" s="479" t="s">
        <v>45</v>
      </c>
      <c r="D84" s="449"/>
      <c r="E84" s="445"/>
      <c r="F84" s="445"/>
      <c r="G84" s="445"/>
      <c r="H84" s="377"/>
      <c r="I84" s="377"/>
      <c r="J84" s="377"/>
      <c r="K84" s="377"/>
      <c r="L84" s="377"/>
      <c r="M84" s="377"/>
      <c r="N84" s="377"/>
      <c r="O84" s="377"/>
      <c r="P84" s="377"/>
      <c r="Q84" s="377"/>
      <c r="R84" s="377"/>
      <c r="S84" s="377"/>
      <c r="T84" s="377"/>
      <c r="U84" s="377"/>
      <c r="V84" s="377"/>
      <c r="W84" s="377"/>
      <c r="X84" s="377"/>
      <c r="Y84" s="377"/>
      <c r="Z84" s="377"/>
      <c r="AA84" s="377"/>
      <c r="AB84" s="377"/>
      <c r="AC84" s="377"/>
      <c r="AD84" s="377"/>
      <c r="AE84" s="377"/>
      <c r="AF84" s="377"/>
      <c r="AG84" s="377"/>
      <c r="AH84" s="377"/>
      <c r="AI84" s="377"/>
      <c r="AJ84" s="377"/>
      <c r="AK84" s="408"/>
      <c r="AL84" s="408"/>
      <c r="AM84" s="377"/>
      <c r="AN84" s="377"/>
      <c r="AO84" s="377"/>
      <c r="AP84" s="377"/>
      <c r="AQ84" s="408"/>
      <c r="AR84" s="377"/>
      <c r="AS84" s="377"/>
      <c r="AT84" s="377"/>
      <c r="AU84" s="377"/>
      <c r="AV84" s="377"/>
      <c r="AW84" s="254"/>
      <c r="AX84" s="254"/>
      <c r="AY84" s="254"/>
      <c r="AZ84" s="254"/>
      <c r="BA84" s="254"/>
      <c r="BB84" s="254"/>
      <c r="BC84" s="254"/>
      <c r="BD84" s="254"/>
      <c r="BE84" s="254"/>
      <c r="BF84" s="254"/>
      <c r="BG84" s="254"/>
      <c r="BH84" s="254"/>
      <c r="BI84" s="254"/>
      <c r="BJ84" s="254"/>
      <c r="BK84" s="254"/>
      <c r="BL84" s="254"/>
      <c r="BM84" s="254"/>
      <c r="BN84" s="254"/>
      <c r="BO84" s="254"/>
      <c r="BP84" s="254"/>
      <c r="BQ84" s="254"/>
      <c r="BR84" s="254"/>
      <c r="BS84" s="254"/>
      <c r="BT84" s="254"/>
      <c r="BU84" s="254"/>
    </row>
    <row r="85" spans="1:73" ht="38.1" customHeight="1">
      <c r="A85" s="519"/>
      <c r="B85" s="445"/>
      <c r="C85" s="481"/>
      <c r="D85" s="445"/>
      <c r="E85" s="445"/>
      <c r="F85" s="445"/>
      <c r="G85" s="445"/>
      <c r="H85" s="377"/>
      <c r="I85" s="377"/>
      <c r="J85" s="377"/>
      <c r="K85" s="377"/>
      <c r="L85" s="377"/>
      <c r="M85" s="377"/>
      <c r="N85" s="377"/>
      <c r="O85" s="377"/>
      <c r="P85" s="377"/>
      <c r="Q85" s="377"/>
      <c r="R85" s="377"/>
      <c r="S85" s="377"/>
      <c r="T85" s="377"/>
      <c r="U85" s="377"/>
      <c r="V85" s="377"/>
      <c r="W85" s="377"/>
      <c r="X85" s="377"/>
      <c r="Y85" s="377"/>
      <c r="Z85" s="377"/>
      <c r="AA85" s="377"/>
      <c r="AB85" s="377"/>
      <c r="AC85" s="377"/>
      <c r="AD85" s="377"/>
      <c r="AE85" s="377"/>
      <c r="AF85" s="377"/>
      <c r="AG85" s="377"/>
      <c r="AH85" s="377"/>
      <c r="AI85" s="377"/>
      <c r="AJ85" s="377"/>
      <c r="AK85" s="408"/>
      <c r="AL85" s="408"/>
      <c r="AM85" s="377"/>
      <c r="AN85" s="377"/>
      <c r="AO85" s="377"/>
      <c r="AP85" s="377"/>
      <c r="AQ85" s="408"/>
      <c r="AR85" s="377"/>
      <c r="AS85" s="377"/>
      <c r="AT85" s="377"/>
      <c r="AU85" s="377"/>
      <c r="AV85" s="377"/>
      <c r="AW85" s="254"/>
      <c r="AX85" s="254"/>
      <c r="AY85" s="254"/>
      <c r="AZ85" s="254"/>
      <c r="BA85" s="254"/>
      <c r="BB85" s="254"/>
      <c r="BC85" s="254"/>
      <c r="BD85" s="254"/>
      <c r="BE85" s="254"/>
      <c r="BF85" s="254"/>
      <c r="BG85" s="254"/>
      <c r="BH85" s="254"/>
      <c r="BI85" s="254"/>
      <c r="BJ85" s="254"/>
      <c r="BK85" s="254"/>
      <c r="BL85" s="254"/>
      <c r="BM85" s="254"/>
      <c r="BN85" s="254"/>
      <c r="BO85" s="254"/>
      <c r="BP85" s="254"/>
      <c r="BQ85" s="254"/>
      <c r="BR85" s="254"/>
      <c r="BS85" s="254"/>
      <c r="BT85" s="254"/>
      <c r="BU85" s="254"/>
    </row>
    <row r="86" spans="1:73" ht="38.1" customHeight="1">
      <c r="A86" s="519"/>
      <c r="B86" s="445" t="str">
        <f>+A28</f>
        <v>Wagers</v>
      </c>
      <c r="C86" s="475"/>
      <c r="D86" s="445"/>
      <c r="E86" s="445"/>
      <c r="F86" s="445"/>
      <c r="G86" s="445"/>
      <c r="H86" s="377"/>
      <c r="I86" s="377"/>
      <c r="J86" s="377"/>
      <c r="K86" s="377"/>
      <c r="L86" s="377"/>
      <c r="M86" s="377"/>
      <c r="N86" s="377"/>
      <c r="O86" s="377"/>
      <c r="P86" s="377"/>
      <c r="Q86" s="377"/>
      <c r="R86" s="377"/>
      <c r="S86" s="377"/>
      <c r="T86" s="377"/>
      <c r="U86" s="377"/>
      <c r="V86" s="377"/>
      <c r="W86" s="377"/>
      <c r="X86" s="377"/>
      <c r="Y86" s="377"/>
      <c r="Z86" s="377"/>
      <c r="AA86" s="377"/>
      <c r="AB86" s="377"/>
      <c r="AC86" s="377"/>
      <c r="AD86" s="377"/>
      <c r="AE86" s="377"/>
      <c r="AF86" s="377"/>
      <c r="AG86" s="377"/>
      <c r="AH86" s="377"/>
      <c r="AI86" s="377"/>
      <c r="AJ86" s="377"/>
      <c r="AK86" s="408"/>
      <c r="AL86" s="408"/>
      <c r="AM86" s="377"/>
      <c r="AN86" s="377"/>
      <c r="AO86" s="377"/>
      <c r="AP86" s="377"/>
      <c r="AQ86" s="408"/>
      <c r="AR86" s="377"/>
      <c r="AS86" s="377"/>
      <c r="AT86" s="377"/>
      <c r="AU86" s="377"/>
      <c r="AV86" s="377"/>
      <c r="AW86" s="254"/>
      <c r="AX86" s="254"/>
      <c r="AY86" s="254"/>
      <c r="AZ86" s="254"/>
      <c r="BA86" s="254"/>
      <c r="BB86" s="254"/>
      <c r="BC86" s="254"/>
      <c r="BD86" s="254"/>
      <c r="BE86" s="254"/>
      <c r="BF86" s="254"/>
      <c r="BG86" s="254"/>
      <c r="BH86" s="254"/>
      <c r="BI86" s="254"/>
      <c r="BJ86" s="254"/>
      <c r="BK86" s="254"/>
      <c r="BL86" s="254"/>
      <c r="BM86" s="254"/>
      <c r="BN86" s="254"/>
      <c r="BO86" s="254"/>
      <c r="BP86" s="254"/>
      <c r="BQ86" s="254"/>
      <c r="BR86" s="254"/>
      <c r="BS86" s="254"/>
      <c r="BT86" s="254"/>
      <c r="BU86" s="254"/>
    </row>
    <row r="87" spans="1:73" ht="38.1" customHeight="1">
      <c r="A87" s="519"/>
      <c r="B87" s="446"/>
      <c r="C87" s="475"/>
      <c r="D87" s="445"/>
      <c r="E87" s="445" t="s">
        <v>46</v>
      </c>
      <c r="F87" s="445"/>
      <c r="G87" s="445"/>
      <c r="H87" s="377"/>
      <c r="I87" s="377"/>
      <c r="J87" s="377"/>
      <c r="K87" s="377"/>
      <c r="L87" s="377"/>
      <c r="M87" s="377"/>
      <c r="N87" s="377"/>
      <c r="O87" s="377"/>
      <c r="P87" s="377"/>
      <c r="Q87" s="377"/>
      <c r="R87" s="377"/>
      <c r="S87" s="377"/>
      <c r="T87" s="377"/>
      <c r="U87" s="377"/>
      <c r="V87" s="377"/>
      <c r="W87" s="377"/>
      <c r="X87" s="377"/>
      <c r="Y87" s="377"/>
      <c r="Z87" s="377"/>
      <c r="AA87" s="377"/>
      <c r="AB87" s="377"/>
      <c r="AC87" s="377"/>
      <c r="AD87" s="377"/>
      <c r="AE87" s="377"/>
      <c r="AF87" s="377"/>
      <c r="AG87" s="377"/>
      <c r="AH87" s="377"/>
      <c r="AI87" s="377"/>
      <c r="AJ87" s="377"/>
      <c r="AK87" s="408"/>
      <c r="AL87" s="408"/>
      <c r="AM87" s="377"/>
      <c r="AN87" s="377"/>
      <c r="AO87" s="377"/>
      <c r="AP87" s="377"/>
      <c r="AQ87" s="408"/>
      <c r="AR87" s="377"/>
      <c r="AS87" s="377"/>
      <c r="AT87" s="377"/>
      <c r="AU87" s="377"/>
      <c r="AV87" s="377"/>
      <c r="AW87" s="254"/>
      <c r="AX87" s="254"/>
      <c r="AY87" s="254"/>
      <c r="AZ87" s="254"/>
      <c r="BA87" s="254"/>
      <c r="BB87" s="254"/>
      <c r="BC87" s="254"/>
      <c r="BD87" s="254"/>
      <c r="BE87" s="254"/>
      <c r="BF87" s="254"/>
      <c r="BG87" s="254"/>
      <c r="BH87" s="254"/>
      <c r="BI87" s="254"/>
      <c r="BJ87" s="254"/>
      <c r="BK87" s="254"/>
      <c r="BL87" s="254"/>
      <c r="BM87" s="254"/>
      <c r="BN87" s="254"/>
      <c r="BO87" s="254"/>
      <c r="BP87" s="254"/>
      <c r="BQ87" s="254"/>
      <c r="BR87" s="254"/>
      <c r="BS87" s="254"/>
      <c r="BT87" s="254"/>
      <c r="BU87" s="254"/>
    </row>
    <row r="88" spans="1:73" ht="38.1" customHeight="1">
      <c r="A88" s="519"/>
      <c r="B88" s="451" t="s">
        <v>184</v>
      </c>
      <c r="C88" s="475"/>
      <c r="D88" s="445"/>
      <c r="E88" s="445"/>
      <c r="F88" s="445"/>
      <c r="G88" s="445"/>
      <c r="H88" s="377"/>
      <c r="I88" s="377"/>
      <c r="J88" s="377"/>
      <c r="K88" s="377"/>
      <c r="L88" s="377"/>
      <c r="M88" s="377"/>
      <c r="N88" s="377"/>
      <c r="O88" s="377"/>
      <c r="P88" s="377"/>
      <c r="Q88" s="377"/>
      <c r="R88" s="377"/>
      <c r="S88" s="377"/>
      <c r="T88" s="377"/>
      <c r="U88" s="377"/>
      <c r="V88" s="377"/>
      <c r="W88" s="377"/>
      <c r="X88" s="377"/>
      <c r="Y88" s="377"/>
      <c r="Z88" s="377"/>
      <c r="AA88" s="377"/>
      <c r="AB88" s="377"/>
      <c r="AC88" s="377"/>
      <c r="AD88" s="377"/>
      <c r="AE88" s="377"/>
      <c r="AF88" s="377"/>
      <c r="AG88" s="377"/>
      <c r="AH88" s="377"/>
      <c r="AI88" s="377"/>
      <c r="AJ88" s="377"/>
      <c r="AK88" s="408"/>
      <c r="AL88" s="408"/>
      <c r="AM88" s="377"/>
      <c r="AN88" s="377"/>
      <c r="AO88" s="377"/>
      <c r="AP88" s="377"/>
      <c r="AQ88" s="408"/>
      <c r="AR88" s="377"/>
      <c r="AS88" s="377"/>
      <c r="AT88" s="377"/>
      <c r="AU88" s="377"/>
      <c r="AV88" s="377"/>
      <c r="AW88" s="254"/>
      <c r="AX88" s="254"/>
      <c r="AY88" s="254"/>
      <c r="AZ88" s="254"/>
      <c r="BA88" s="254"/>
      <c r="BB88" s="254"/>
      <c r="BC88" s="254"/>
      <c r="BD88" s="254"/>
      <c r="BE88" s="254"/>
      <c r="BF88" s="254"/>
      <c r="BG88" s="254"/>
      <c r="BH88" s="254"/>
      <c r="BI88" s="254"/>
      <c r="BJ88" s="254"/>
      <c r="BK88" s="254"/>
      <c r="BL88" s="254"/>
      <c r="BM88" s="254"/>
      <c r="BN88" s="254"/>
      <c r="BO88" s="254"/>
      <c r="BP88" s="254"/>
      <c r="BQ88" s="254"/>
      <c r="BR88" s="254"/>
      <c r="BS88" s="254"/>
      <c r="BT88" s="254"/>
      <c r="BU88" s="254"/>
    </row>
    <row r="89" spans="1:73" ht="38.1" customHeight="1">
      <c r="A89" s="519"/>
      <c r="B89" s="447" t="s">
        <v>47</v>
      </c>
      <c r="C89" s="477"/>
      <c r="D89" s="445"/>
      <c r="E89" s="445"/>
      <c r="F89" s="445"/>
      <c r="G89" s="445"/>
      <c r="H89" s="377"/>
      <c r="I89" s="377"/>
      <c r="J89" s="377"/>
      <c r="K89" s="377"/>
      <c r="L89" s="377"/>
      <c r="M89" s="377"/>
      <c r="N89" s="377"/>
      <c r="O89" s="377"/>
      <c r="P89" s="377"/>
      <c r="Q89" s="377"/>
      <c r="R89" s="377"/>
      <c r="S89" s="377"/>
      <c r="T89" s="377"/>
      <c r="U89" s="377"/>
      <c r="V89" s="377"/>
      <c r="W89" s="377"/>
      <c r="X89" s="377"/>
      <c r="Y89" s="377"/>
      <c r="Z89" s="377"/>
      <c r="AA89" s="377"/>
      <c r="AB89" s="377"/>
      <c r="AC89" s="377"/>
      <c r="AD89" s="377"/>
      <c r="AE89" s="377"/>
      <c r="AF89" s="377"/>
      <c r="AG89" s="377"/>
      <c r="AH89" s="377"/>
      <c r="AI89" s="377"/>
      <c r="AJ89" s="377"/>
      <c r="AK89" s="408"/>
      <c r="AL89" s="408"/>
      <c r="AM89" s="377"/>
      <c r="AN89" s="377"/>
      <c r="AO89" s="377"/>
      <c r="AP89" s="377"/>
      <c r="AQ89" s="408"/>
      <c r="AR89" s="377"/>
      <c r="AS89" s="377"/>
      <c r="AT89" s="377"/>
      <c r="AU89" s="377"/>
      <c r="AV89" s="377"/>
      <c r="AW89" s="254"/>
      <c r="AX89" s="254"/>
      <c r="AY89" s="254"/>
      <c r="AZ89" s="254"/>
      <c r="BA89" s="254"/>
      <c r="BB89" s="254"/>
      <c r="BC89" s="254"/>
      <c r="BD89" s="254"/>
      <c r="BE89" s="254"/>
      <c r="BF89" s="254"/>
      <c r="BG89" s="254"/>
      <c r="BH89" s="254"/>
      <c r="BI89" s="254"/>
      <c r="BJ89" s="254"/>
      <c r="BK89" s="254"/>
      <c r="BL89" s="254"/>
      <c r="BM89" s="254"/>
      <c r="BN89" s="254"/>
      <c r="BO89" s="254"/>
      <c r="BP89" s="254"/>
      <c r="BQ89" s="254"/>
      <c r="BR89" s="254"/>
      <c r="BS89" s="254"/>
      <c r="BT89" s="254"/>
      <c r="BU89" s="254"/>
    </row>
    <row r="90" spans="1:73" ht="38.1" customHeight="1">
      <c r="A90" s="519"/>
      <c r="B90" s="448" t="str">
        <f>A35</f>
        <v>Jackson</v>
      </c>
      <c r="C90" s="478" t="s">
        <v>178</v>
      </c>
      <c r="D90" s="449"/>
      <c r="E90" s="445"/>
      <c r="F90" s="445"/>
      <c r="G90" s="445"/>
      <c r="H90" s="377"/>
      <c r="I90" s="377"/>
      <c r="J90" s="377"/>
      <c r="K90" s="377"/>
      <c r="L90" s="377"/>
      <c r="M90" s="377"/>
      <c r="N90" s="377"/>
      <c r="O90" s="377"/>
      <c r="P90" s="377"/>
      <c r="Q90" s="377"/>
      <c r="R90" s="377"/>
      <c r="S90" s="377"/>
      <c r="T90" s="377"/>
      <c r="U90" s="377"/>
      <c r="V90" s="377"/>
      <c r="W90" s="377"/>
      <c r="X90" s="377"/>
      <c r="Y90" s="377"/>
      <c r="Z90" s="377"/>
      <c r="AA90" s="377"/>
      <c r="AB90" s="377"/>
      <c r="AC90" s="377"/>
      <c r="AD90" s="377"/>
      <c r="AE90" s="377"/>
      <c r="AF90" s="377"/>
      <c r="AG90" s="377"/>
      <c r="AH90" s="377"/>
      <c r="AI90" s="377"/>
      <c r="AJ90" s="377"/>
      <c r="AK90" s="408"/>
      <c r="AL90" s="408"/>
      <c r="AM90" s="377"/>
      <c r="AN90" s="377"/>
      <c r="AO90" s="377"/>
      <c r="AP90" s="377"/>
      <c r="AQ90" s="408"/>
      <c r="AR90" s="377"/>
      <c r="AS90" s="377"/>
      <c r="AT90" s="377"/>
      <c r="AU90" s="377"/>
      <c r="AV90" s="377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</row>
    <row r="91" spans="1:73" ht="38.1" customHeight="1">
      <c r="A91" s="519"/>
      <c r="B91" s="445" t="str">
        <f>A31</f>
        <v>Roliz</v>
      </c>
      <c r="C91" s="479" t="s">
        <v>40</v>
      </c>
      <c r="D91" s="450"/>
      <c r="E91" s="446"/>
      <c r="F91" s="445"/>
      <c r="G91" s="445"/>
      <c r="H91" s="377"/>
      <c r="I91" s="377"/>
      <c r="J91" s="377"/>
      <c r="K91" s="377"/>
      <c r="L91" s="377"/>
      <c r="M91" s="377"/>
      <c r="N91" s="377"/>
      <c r="O91" s="377"/>
      <c r="P91" s="377"/>
      <c r="Q91" s="377"/>
      <c r="R91" s="377"/>
      <c r="S91" s="377"/>
      <c r="T91" s="377"/>
      <c r="U91" s="377"/>
      <c r="V91" s="377"/>
      <c r="W91" s="377"/>
      <c r="X91" s="377"/>
      <c r="Y91" s="377"/>
      <c r="Z91" s="377"/>
      <c r="AA91" s="377"/>
      <c r="AB91" s="377"/>
      <c r="AC91" s="377"/>
      <c r="AD91" s="377"/>
      <c r="AE91" s="377"/>
      <c r="AF91" s="377"/>
      <c r="AG91" s="377"/>
      <c r="AH91" s="377"/>
      <c r="AI91" s="377"/>
      <c r="AJ91" s="377"/>
      <c r="AK91" s="408"/>
      <c r="AL91" s="408"/>
      <c r="AM91" s="377"/>
      <c r="AN91" s="377"/>
      <c r="AO91" s="377"/>
      <c r="AP91" s="377"/>
      <c r="AQ91" s="408"/>
      <c r="AR91" s="377"/>
      <c r="AS91" s="377"/>
      <c r="AT91" s="377"/>
      <c r="AU91" s="377"/>
      <c r="AV91" s="377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  <c r="BL91" s="254"/>
      <c r="BM91" s="254"/>
      <c r="BN91" s="254"/>
      <c r="BO91" s="254"/>
      <c r="BP91" s="254"/>
      <c r="BQ91" s="254"/>
      <c r="BR91" s="254"/>
      <c r="BS91" s="254"/>
      <c r="BT91" s="254"/>
      <c r="BU91" s="254"/>
    </row>
    <row r="92" spans="1:73" ht="38.1" customHeight="1">
      <c r="A92" s="519"/>
      <c r="B92" s="450"/>
      <c r="C92" s="480"/>
      <c r="D92" s="449"/>
      <c r="E92" s="451"/>
      <c r="F92" s="445"/>
      <c r="G92" s="445"/>
      <c r="H92" s="377"/>
      <c r="I92" s="377"/>
      <c r="J92" s="377"/>
      <c r="K92" s="377"/>
      <c r="L92" s="377"/>
      <c r="M92" s="377"/>
      <c r="N92" s="377"/>
      <c r="O92" s="377"/>
      <c r="P92" s="377"/>
      <c r="Q92" s="377"/>
      <c r="R92" s="377"/>
      <c r="S92" s="377"/>
      <c r="T92" s="377"/>
      <c r="U92" s="377"/>
      <c r="V92" s="377"/>
      <c r="W92" s="377"/>
      <c r="X92" s="377"/>
      <c r="Y92" s="377"/>
      <c r="Z92" s="377"/>
      <c r="AA92" s="377"/>
      <c r="AB92" s="377"/>
      <c r="AC92" s="377"/>
      <c r="AD92" s="377"/>
      <c r="AE92" s="377"/>
      <c r="AF92" s="377"/>
      <c r="AG92" s="377"/>
      <c r="AH92" s="377"/>
      <c r="AI92" s="377"/>
      <c r="AJ92" s="377"/>
      <c r="AK92" s="408"/>
      <c r="AL92" s="408"/>
      <c r="AM92" s="377"/>
      <c r="AN92" s="377"/>
      <c r="AO92" s="377"/>
      <c r="AP92" s="377"/>
      <c r="AQ92" s="408"/>
      <c r="AR92" s="377"/>
      <c r="AS92" s="377"/>
      <c r="AT92" s="377"/>
      <c r="AU92" s="377"/>
      <c r="AV92" s="377"/>
      <c r="AW92" s="254"/>
      <c r="AX92" s="254"/>
      <c r="AY92" s="254"/>
      <c r="AZ92" s="254"/>
      <c r="BA92" s="254"/>
      <c r="BB92" s="254"/>
      <c r="BC92" s="254"/>
      <c r="BD92" s="254"/>
      <c r="BE92" s="254"/>
      <c r="BF92" s="254"/>
      <c r="BG92" s="254"/>
      <c r="BH92" s="254"/>
      <c r="BI92" s="254"/>
      <c r="BJ92" s="254"/>
      <c r="BK92" s="254"/>
      <c r="BL92" s="254"/>
      <c r="BM92" s="254"/>
      <c r="BN92" s="254"/>
      <c r="BO92" s="254"/>
      <c r="BP92" s="254"/>
      <c r="BQ92" s="254"/>
      <c r="BR92" s="254"/>
      <c r="BS92" s="254"/>
      <c r="BT92" s="254"/>
      <c r="BU92" s="254"/>
    </row>
    <row r="93" spans="1:73" ht="38.1" customHeight="1">
      <c r="A93" s="519"/>
      <c r="B93" s="451" t="s">
        <v>185</v>
      </c>
      <c r="C93" s="481"/>
      <c r="D93" s="449"/>
      <c r="E93" s="451"/>
      <c r="F93" s="445"/>
      <c r="G93" s="445"/>
      <c r="H93" s="377"/>
      <c r="I93" s="377"/>
      <c r="J93" s="377"/>
      <c r="K93" s="377"/>
      <c r="L93" s="377"/>
      <c r="M93" s="377"/>
      <c r="N93" s="377"/>
      <c r="O93" s="377"/>
      <c r="P93" s="377"/>
      <c r="Q93" s="377"/>
      <c r="R93" s="377"/>
      <c r="S93" s="377"/>
      <c r="T93" s="377"/>
      <c r="U93" s="377"/>
      <c r="V93" s="377"/>
      <c r="W93" s="377"/>
      <c r="X93" s="377"/>
      <c r="Y93" s="377"/>
      <c r="Z93" s="377"/>
      <c r="AA93" s="377"/>
      <c r="AB93" s="377"/>
      <c r="AC93" s="377"/>
      <c r="AD93" s="377"/>
      <c r="AE93" s="377"/>
      <c r="AF93" s="377"/>
      <c r="AG93" s="377"/>
      <c r="AH93" s="377"/>
      <c r="AI93" s="377"/>
      <c r="AJ93" s="377"/>
      <c r="AK93" s="408"/>
      <c r="AL93" s="408"/>
      <c r="AM93" s="377"/>
      <c r="AN93" s="377"/>
      <c r="AO93" s="377"/>
      <c r="AP93" s="377"/>
      <c r="AQ93" s="408"/>
      <c r="AR93" s="377"/>
      <c r="AS93" s="377"/>
      <c r="AT93" s="377"/>
      <c r="AU93" s="377"/>
      <c r="AV93" s="377"/>
      <c r="AW93" s="254"/>
      <c r="AX93" s="254"/>
      <c r="AY93" s="254"/>
      <c r="AZ93" s="254"/>
      <c r="BA93" s="254"/>
      <c r="BB93" s="254"/>
      <c r="BC93" s="254"/>
      <c r="BD93" s="254"/>
      <c r="BE93" s="254"/>
      <c r="BF93" s="254"/>
      <c r="BG93" s="254"/>
      <c r="BH93" s="254"/>
      <c r="BI93" s="254"/>
      <c r="BJ93" s="254"/>
      <c r="BK93" s="254"/>
      <c r="BL93" s="254"/>
      <c r="BM93" s="254"/>
      <c r="BN93" s="254"/>
      <c r="BO93" s="254"/>
      <c r="BP93" s="254"/>
      <c r="BQ93" s="254"/>
      <c r="BR93" s="254"/>
      <c r="BS93" s="254"/>
      <c r="BT93" s="254"/>
      <c r="BU93" s="254"/>
    </row>
    <row r="94" spans="1:73" ht="38.1" customHeight="1">
      <c r="A94" s="519"/>
      <c r="B94" s="447" t="s">
        <v>47</v>
      </c>
      <c r="C94" s="462"/>
      <c r="D94" s="449"/>
      <c r="E94" s="451" t="s">
        <v>176</v>
      </c>
      <c r="F94" s="445"/>
      <c r="G94" s="445" t="s">
        <v>163</v>
      </c>
      <c r="H94" s="377"/>
      <c r="I94" s="377"/>
      <c r="J94" s="377"/>
      <c r="K94" s="377"/>
      <c r="L94" s="377"/>
      <c r="M94" s="377"/>
      <c r="N94" s="377"/>
      <c r="O94" s="377"/>
      <c r="P94" s="377"/>
      <c r="Q94" s="377"/>
      <c r="R94" s="377"/>
      <c r="S94" s="377"/>
      <c r="T94" s="377"/>
      <c r="U94" s="377"/>
      <c r="V94" s="377"/>
      <c r="W94" s="377"/>
      <c r="X94" s="377"/>
      <c r="Y94" s="377"/>
      <c r="Z94" s="377"/>
      <c r="AA94" s="377"/>
      <c r="AB94" s="377"/>
      <c r="AC94" s="377"/>
      <c r="AD94" s="377"/>
      <c r="AE94" s="377"/>
      <c r="AF94" s="377"/>
      <c r="AG94" s="377"/>
      <c r="AH94" s="377"/>
      <c r="AI94" s="377"/>
      <c r="AJ94" s="377"/>
      <c r="AK94" s="408"/>
      <c r="AL94" s="408"/>
      <c r="AM94" s="377"/>
      <c r="AN94" s="377"/>
      <c r="AO94" s="377"/>
      <c r="AP94" s="377"/>
      <c r="AQ94" s="408"/>
      <c r="AR94" s="377"/>
      <c r="AS94" s="377"/>
      <c r="AT94" s="377"/>
      <c r="AU94" s="377"/>
      <c r="AV94" s="377"/>
      <c r="AW94" s="254"/>
      <c r="AX94" s="254"/>
      <c r="AY94" s="254"/>
      <c r="AZ94" s="254"/>
      <c r="BA94" s="254"/>
      <c r="BB94" s="254"/>
      <c r="BC94" s="254"/>
      <c r="BD94" s="254"/>
      <c r="BE94" s="254"/>
      <c r="BF94" s="254"/>
      <c r="BG94" s="254"/>
      <c r="BH94" s="254"/>
      <c r="BI94" s="254"/>
      <c r="BJ94" s="254"/>
      <c r="BK94" s="254"/>
      <c r="BL94" s="254"/>
      <c r="BM94" s="254"/>
      <c r="BN94" s="254"/>
      <c r="BO94" s="254"/>
      <c r="BP94" s="254"/>
      <c r="BQ94" s="254"/>
      <c r="BR94" s="254"/>
      <c r="BS94" s="254"/>
      <c r="BT94" s="254"/>
      <c r="BU94" s="254"/>
    </row>
    <row r="95" spans="1:73" ht="38.1" customHeight="1">
      <c r="A95" s="519"/>
      <c r="B95" s="448" t="str">
        <f>A32</f>
        <v>Dusablon</v>
      </c>
      <c r="C95" s="475"/>
      <c r="D95" s="449"/>
      <c r="E95" s="451"/>
      <c r="F95" s="453"/>
      <c r="G95" s="445"/>
      <c r="H95" s="377"/>
      <c r="I95" s="377"/>
      <c r="J95" s="377"/>
      <c r="K95" s="377"/>
      <c r="L95" s="377"/>
      <c r="M95" s="377"/>
      <c r="N95" s="377"/>
      <c r="O95" s="377"/>
      <c r="P95" s="377"/>
      <c r="Q95" s="377"/>
      <c r="R95" s="377"/>
      <c r="S95" s="377"/>
      <c r="T95" s="377"/>
      <c r="U95" s="377"/>
      <c r="V95" s="377"/>
      <c r="W95" s="377"/>
      <c r="X95" s="377"/>
      <c r="Y95" s="377"/>
      <c r="Z95" s="377"/>
      <c r="AA95" s="377"/>
      <c r="AB95" s="377"/>
      <c r="AC95" s="377"/>
      <c r="AD95" s="377"/>
      <c r="AE95" s="377"/>
      <c r="AF95" s="377"/>
      <c r="AG95" s="377"/>
      <c r="AH95" s="377"/>
      <c r="AI95" s="377"/>
      <c r="AJ95" s="377"/>
      <c r="AK95" s="408"/>
      <c r="AL95" s="408"/>
      <c r="AM95" s="377"/>
      <c r="AN95" s="377"/>
      <c r="AO95" s="377"/>
      <c r="AP95" s="377"/>
      <c r="AQ95" s="408"/>
      <c r="AR95" s="377"/>
      <c r="AS95" s="377"/>
      <c r="AT95" s="377"/>
      <c r="AU95" s="377"/>
      <c r="AV95" s="377"/>
      <c r="AW95" s="254"/>
      <c r="AX95" s="254"/>
      <c r="AY95" s="254"/>
      <c r="AZ95" s="254"/>
      <c r="BA95" s="254"/>
      <c r="BB95" s="254"/>
      <c r="BC95" s="254"/>
      <c r="BD95" s="254"/>
      <c r="BE95" s="254"/>
      <c r="BF95" s="254"/>
      <c r="BG95" s="254"/>
      <c r="BH95" s="254"/>
      <c r="BI95" s="254"/>
      <c r="BJ95" s="254"/>
      <c r="BK95" s="254"/>
      <c r="BL95" s="254"/>
      <c r="BM95" s="254"/>
      <c r="BN95" s="254"/>
      <c r="BO95" s="254"/>
      <c r="BP95" s="254"/>
      <c r="BQ95" s="254"/>
      <c r="BR95" s="254"/>
      <c r="BS95" s="254"/>
      <c r="BT95" s="254"/>
      <c r="BU95" s="254"/>
    </row>
    <row r="96" spans="1:73" ht="38.1" customHeight="1">
      <c r="A96" s="519"/>
      <c r="B96" s="445" t="str">
        <f>+A29</f>
        <v>Ruggles</v>
      </c>
      <c r="C96" s="475"/>
      <c r="D96" s="449"/>
      <c r="E96" s="451"/>
      <c r="F96" s="458"/>
      <c r="G96" s="445" t="s">
        <v>164</v>
      </c>
      <c r="H96" s="377"/>
      <c r="I96" s="377"/>
      <c r="J96" s="377"/>
      <c r="K96" s="377"/>
      <c r="L96" s="377"/>
      <c r="M96" s="377"/>
      <c r="N96" s="377"/>
      <c r="O96" s="377"/>
      <c r="P96" s="377"/>
      <c r="Q96" s="377"/>
      <c r="R96" s="377"/>
      <c r="S96" s="377"/>
      <c r="T96" s="377"/>
      <c r="U96" s="377"/>
      <c r="V96" s="377"/>
      <c r="W96" s="377"/>
      <c r="X96" s="377"/>
      <c r="Y96" s="377"/>
      <c r="Z96" s="377"/>
      <c r="AA96" s="377"/>
      <c r="AB96" s="377"/>
      <c r="AC96" s="377"/>
      <c r="AD96" s="377"/>
      <c r="AE96" s="377"/>
      <c r="AF96" s="377"/>
      <c r="AG96" s="377"/>
      <c r="AH96" s="377"/>
      <c r="AI96" s="377"/>
      <c r="AJ96" s="377"/>
      <c r="AK96" s="408"/>
      <c r="AL96" s="408"/>
      <c r="AM96" s="377"/>
      <c r="AN96" s="377"/>
      <c r="AO96" s="377"/>
      <c r="AP96" s="377"/>
      <c r="AQ96" s="408"/>
      <c r="AR96" s="377"/>
      <c r="AS96" s="377"/>
      <c r="AT96" s="377"/>
      <c r="AU96" s="377"/>
      <c r="AV96" s="377"/>
      <c r="AW96" s="254"/>
      <c r="AX96" s="254"/>
      <c r="AY96" s="254"/>
      <c r="AZ96" s="254"/>
      <c r="BA96" s="254"/>
      <c r="BB96" s="254"/>
      <c r="BC96" s="254"/>
      <c r="BD96" s="254"/>
      <c r="BE96" s="254"/>
      <c r="BF96" s="254"/>
      <c r="BG96" s="254"/>
      <c r="BH96" s="254"/>
      <c r="BI96" s="254"/>
      <c r="BJ96" s="254"/>
      <c r="BK96" s="254"/>
      <c r="BL96" s="254"/>
      <c r="BM96" s="254"/>
      <c r="BN96" s="254"/>
      <c r="BO96" s="254"/>
      <c r="BP96" s="254"/>
      <c r="BQ96" s="254"/>
      <c r="BR96" s="254"/>
      <c r="BS96" s="254"/>
      <c r="BT96" s="254"/>
      <c r="BU96" s="254"/>
    </row>
    <row r="97" spans="1:73" ht="38.1" customHeight="1">
      <c r="A97" s="519"/>
      <c r="B97" s="446"/>
      <c r="C97" s="475"/>
      <c r="D97" s="449"/>
      <c r="E97" s="449"/>
      <c r="F97" s="454"/>
      <c r="G97" s="445"/>
      <c r="H97" s="377"/>
      <c r="I97" s="377"/>
      <c r="J97" s="377"/>
      <c r="K97" s="377"/>
      <c r="L97" s="377"/>
      <c r="M97" s="377"/>
      <c r="N97" s="377"/>
      <c r="O97" s="377"/>
      <c r="P97" s="377"/>
      <c r="Q97" s="377"/>
      <c r="R97" s="377"/>
      <c r="S97" s="377"/>
      <c r="T97" s="377"/>
      <c r="U97" s="377"/>
      <c r="V97" s="377"/>
      <c r="W97" s="377"/>
      <c r="X97" s="377"/>
      <c r="Y97" s="377"/>
      <c r="Z97" s="377"/>
      <c r="AA97" s="377"/>
      <c r="AB97" s="377"/>
      <c r="AC97" s="377"/>
      <c r="AD97" s="377"/>
      <c r="AE97" s="377"/>
      <c r="AF97" s="377"/>
      <c r="AG97" s="377"/>
      <c r="AH97" s="377"/>
      <c r="AI97" s="377"/>
      <c r="AJ97" s="377"/>
      <c r="AK97" s="408"/>
      <c r="AL97" s="408"/>
      <c r="AM97" s="377"/>
      <c r="AN97" s="377"/>
      <c r="AO97" s="377"/>
      <c r="AP97" s="377"/>
      <c r="AQ97" s="408"/>
      <c r="AR97" s="377"/>
      <c r="AS97" s="377"/>
      <c r="AT97" s="377"/>
      <c r="AU97" s="377"/>
      <c r="AV97" s="377"/>
      <c r="AW97" s="254"/>
      <c r="AX97" s="254"/>
      <c r="AY97" s="254"/>
      <c r="AZ97" s="254"/>
      <c r="BA97" s="254"/>
      <c r="BB97" s="254"/>
      <c r="BC97" s="254"/>
      <c r="BD97" s="254"/>
      <c r="BE97" s="254"/>
      <c r="BF97" s="254"/>
      <c r="BG97" s="254"/>
      <c r="BH97" s="254"/>
      <c r="BI97" s="254"/>
      <c r="BJ97" s="254"/>
      <c r="BK97" s="254"/>
      <c r="BL97" s="254"/>
      <c r="BM97" s="254"/>
      <c r="BN97" s="254"/>
      <c r="BO97" s="254"/>
      <c r="BP97" s="254"/>
      <c r="BQ97" s="254"/>
      <c r="BR97" s="254"/>
      <c r="BS97" s="254"/>
      <c r="BT97" s="254"/>
      <c r="BU97" s="254"/>
    </row>
    <row r="98" spans="1:73" ht="38.1" customHeight="1">
      <c r="A98" s="519"/>
      <c r="B98" s="451" t="s">
        <v>178</v>
      </c>
      <c r="C98" s="475"/>
      <c r="D98" s="449"/>
      <c r="E98" s="449"/>
      <c r="F98" s="454"/>
      <c r="G98" s="445"/>
      <c r="H98" s="377"/>
      <c r="I98" s="377"/>
      <c r="J98" s="377"/>
      <c r="K98" s="377"/>
      <c r="L98" s="377"/>
      <c r="M98" s="377"/>
      <c r="N98" s="377"/>
      <c r="O98" s="377"/>
      <c r="P98" s="377"/>
      <c r="Q98" s="377"/>
      <c r="R98" s="377"/>
      <c r="S98" s="377"/>
      <c r="T98" s="377"/>
      <c r="U98" s="377"/>
      <c r="V98" s="377"/>
      <c r="W98" s="377"/>
      <c r="X98" s="377"/>
      <c r="Y98" s="377"/>
      <c r="Z98" s="377"/>
      <c r="AA98" s="377"/>
      <c r="AB98" s="377"/>
      <c r="AC98" s="377"/>
      <c r="AD98" s="377"/>
      <c r="AE98" s="377"/>
      <c r="AF98" s="377"/>
      <c r="AG98" s="377"/>
      <c r="AH98" s="377"/>
      <c r="AI98" s="377"/>
      <c r="AJ98" s="377"/>
      <c r="AK98" s="408"/>
      <c r="AL98" s="408"/>
      <c r="AM98" s="377"/>
      <c r="AN98" s="377"/>
      <c r="AO98" s="377"/>
      <c r="AP98" s="377"/>
      <c r="AQ98" s="408"/>
      <c r="AR98" s="377"/>
      <c r="AS98" s="377"/>
      <c r="AT98" s="377"/>
      <c r="AU98" s="377"/>
      <c r="AV98" s="377"/>
      <c r="AW98" s="254"/>
      <c r="AX98" s="254"/>
      <c r="AY98" s="254"/>
      <c r="AZ98" s="254"/>
      <c r="BA98" s="254"/>
      <c r="BB98" s="254"/>
      <c r="BC98" s="254"/>
      <c r="BD98" s="254"/>
      <c r="BE98" s="254"/>
      <c r="BF98" s="254"/>
      <c r="BG98" s="254"/>
      <c r="BH98" s="254"/>
      <c r="BI98" s="254"/>
      <c r="BJ98" s="254"/>
      <c r="BK98" s="254"/>
      <c r="BL98" s="254"/>
      <c r="BM98" s="254"/>
      <c r="BN98" s="254"/>
      <c r="BO98" s="254"/>
      <c r="BP98" s="254"/>
      <c r="BQ98" s="254"/>
      <c r="BR98" s="254"/>
      <c r="BS98" s="254"/>
      <c r="BT98" s="254"/>
      <c r="BU98" s="254"/>
    </row>
    <row r="99" spans="1:73" ht="38.1" customHeight="1">
      <c r="A99" s="519"/>
      <c r="B99" s="447" t="s">
        <v>48</v>
      </c>
      <c r="C99" s="477"/>
      <c r="D99" s="455"/>
      <c r="E99" s="455"/>
      <c r="F99" s="454"/>
      <c r="G99" s="445"/>
      <c r="H99" s="377"/>
      <c r="I99" s="377"/>
      <c r="J99" s="377"/>
      <c r="K99" s="377"/>
      <c r="L99" s="377"/>
      <c r="M99" s="377"/>
      <c r="N99" s="377"/>
      <c r="O99" s="377"/>
      <c r="P99" s="377"/>
      <c r="Q99" s="377"/>
      <c r="R99" s="377"/>
      <c r="S99" s="377"/>
      <c r="T99" s="377"/>
      <c r="U99" s="377"/>
      <c r="V99" s="377"/>
      <c r="W99" s="377"/>
      <c r="X99" s="377"/>
      <c r="Y99" s="377"/>
      <c r="Z99" s="377"/>
      <c r="AA99" s="377"/>
      <c r="AB99" s="377"/>
      <c r="AC99" s="377"/>
      <c r="AD99" s="377"/>
      <c r="AE99" s="377"/>
      <c r="AF99" s="377"/>
      <c r="AG99" s="377"/>
      <c r="AH99" s="377"/>
      <c r="AI99" s="377"/>
      <c r="AJ99" s="377"/>
      <c r="AK99" s="408"/>
      <c r="AL99" s="408"/>
      <c r="AM99" s="377"/>
      <c r="AN99" s="377"/>
      <c r="AO99" s="377"/>
      <c r="AP99" s="377"/>
      <c r="AQ99" s="408"/>
      <c r="AR99" s="377"/>
      <c r="AS99" s="377"/>
      <c r="AT99" s="377"/>
      <c r="AU99" s="377"/>
      <c r="AV99" s="377"/>
      <c r="AW99" s="254"/>
      <c r="AX99" s="254"/>
      <c r="AY99" s="254"/>
      <c r="AZ99" s="254"/>
      <c r="BA99" s="254"/>
      <c r="BB99" s="254"/>
      <c r="BC99" s="254"/>
      <c r="BD99" s="254"/>
      <c r="BE99" s="254"/>
      <c r="BF99" s="254"/>
      <c r="BG99" s="254"/>
      <c r="BH99" s="254"/>
      <c r="BI99" s="254"/>
      <c r="BJ99" s="254"/>
      <c r="BK99" s="254"/>
      <c r="BL99" s="254"/>
      <c r="BM99" s="254"/>
      <c r="BN99" s="254"/>
      <c r="BO99" s="254"/>
      <c r="BP99" s="254"/>
      <c r="BQ99" s="254"/>
      <c r="BR99" s="254"/>
      <c r="BS99" s="254"/>
      <c r="BT99" s="254"/>
      <c r="BU99" s="254"/>
    </row>
    <row r="100" spans="1:73" ht="38.1" customHeight="1">
      <c r="A100" s="519"/>
      <c r="B100" s="448" t="str">
        <f>+A34</f>
        <v>Birkinshaw</v>
      </c>
      <c r="C100" s="478" t="s">
        <v>186</v>
      </c>
      <c r="D100" s="449"/>
      <c r="E100" s="449"/>
      <c r="F100" s="449"/>
      <c r="G100" s="445"/>
      <c r="H100" s="377"/>
      <c r="I100" s="377"/>
      <c r="J100" s="377"/>
      <c r="K100" s="377"/>
      <c r="L100" s="377"/>
      <c r="M100" s="377"/>
      <c r="N100" s="377"/>
      <c r="O100" s="377"/>
      <c r="P100" s="377"/>
      <c r="Q100" s="377"/>
      <c r="R100" s="377"/>
      <c r="S100" s="377"/>
      <c r="T100" s="377"/>
      <c r="U100" s="377"/>
      <c r="V100" s="377"/>
      <c r="W100" s="377"/>
      <c r="X100" s="377"/>
      <c r="Y100" s="377"/>
      <c r="Z100" s="377"/>
      <c r="AA100" s="377"/>
      <c r="AB100" s="377"/>
      <c r="AC100" s="377"/>
      <c r="AD100" s="377"/>
      <c r="AE100" s="377"/>
      <c r="AF100" s="377"/>
      <c r="AG100" s="377"/>
      <c r="AH100" s="377"/>
      <c r="AI100" s="377"/>
      <c r="AJ100" s="377"/>
      <c r="AK100" s="408"/>
      <c r="AL100" s="408"/>
      <c r="AM100" s="377"/>
      <c r="AN100" s="377"/>
      <c r="AO100" s="377"/>
      <c r="AP100" s="377"/>
      <c r="AQ100" s="408"/>
      <c r="AR100" s="377"/>
      <c r="AS100" s="377"/>
      <c r="AT100" s="377"/>
      <c r="AU100" s="377"/>
      <c r="AV100" s="377"/>
      <c r="AW100" s="254"/>
      <c r="AX100" s="254"/>
      <c r="AY100" s="254"/>
      <c r="AZ100" s="254"/>
      <c r="BA100" s="254"/>
      <c r="BB100" s="254"/>
      <c r="BC100" s="254"/>
      <c r="BD100" s="254"/>
      <c r="BE100" s="254"/>
      <c r="BF100" s="254"/>
      <c r="BG100" s="254"/>
      <c r="BH100" s="254"/>
      <c r="BI100" s="254"/>
      <c r="BJ100" s="254"/>
      <c r="BK100" s="254"/>
      <c r="BL100" s="254"/>
      <c r="BM100" s="254"/>
      <c r="BN100" s="254"/>
      <c r="BO100" s="254"/>
      <c r="BP100" s="254"/>
      <c r="BQ100" s="254"/>
      <c r="BR100" s="254"/>
      <c r="BS100" s="254"/>
      <c r="BT100" s="254"/>
      <c r="BU100" s="254"/>
    </row>
    <row r="101" spans="1:73" ht="38.1" customHeight="1">
      <c r="A101" s="519"/>
      <c r="B101" s="445" t="str">
        <f>+A30</f>
        <v>Kidd</v>
      </c>
      <c r="C101" s="479" t="s">
        <v>40</v>
      </c>
      <c r="D101" s="449"/>
      <c r="E101" s="449"/>
      <c r="F101" s="445"/>
      <c r="G101" s="445"/>
      <c r="H101" s="377"/>
      <c r="I101" s="377"/>
      <c r="J101" s="377"/>
      <c r="K101" s="377"/>
      <c r="L101" s="377"/>
      <c r="M101" s="377"/>
      <c r="N101" s="377"/>
      <c r="O101" s="377"/>
      <c r="P101" s="377"/>
      <c r="Q101" s="377"/>
      <c r="R101" s="377"/>
      <c r="S101" s="377"/>
      <c r="T101" s="377"/>
      <c r="U101" s="377"/>
      <c r="V101" s="377"/>
      <c r="W101" s="377"/>
      <c r="X101" s="377"/>
      <c r="Y101" s="377"/>
      <c r="Z101" s="377"/>
      <c r="AA101" s="377"/>
      <c r="AB101" s="377"/>
      <c r="AC101" s="377"/>
      <c r="AD101" s="377"/>
      <c r="AE101" s="377"/>
      <c r="AF101" s="377"/>
      <c r="AG101" s="377"/>
      <c r="AH101" s="377"/>
      <c r="AI101" s="377"/>
      <c r="AJ101" s="377"/>
      <c r="AK101" s="408"/>
      <c r="AL101" s="408"/>
      <c r="AM101" s="377"/>
      <c r="AN101" s="377"/>
      <c r="AO101" s="377"/>
      <c r="AP101" s="377"/>
      <c r="AQ101" s="408"/>
      <c r="AR101" s="377"/>
      <c r="AS101" s="377"/>
      <c r="AT101" s="377"/>
      <c r="AU101" s="377"/>
      <c r="AV101" s="377"/>
      <c r="AW101" s="254"/>
      <c r="AX101" s="254"/>
      <c r="AY101" s="254"/>
      <c r="AZ101" s="254"/>
      <c r="BA101" s="254"/>
      <c r="BB101" s="254"/>
      <c r="BC101" s="254"/>
      <c r="BD101" s="254"/>
      <c r="BE101" s="254"/>
      <c r="BF101" s="254"/>
      <c r="BG101" s="254"/>
      <c r="BH101" s="254"/>
      <c r="BI101" s="254"/>
      <c r="BJ101" s="254"/>
      <c r="BK101" s="254"/>
      <c r="BL101" s="254"/>
      <c r="BM101" s="254"/>
      <c r="BN101" s="254"/>
      <c r="BO101" s="254"/>
      <c r="BP101" s="254"/>
      <c r="BQ101" s="254"/>
      <c r="BR101" s="254"/>
      <c r="BS101" s="254"/>
      <c r="BT101" s="254"/>
      <c r="BU101" s="254"/>
    </row>
    <row r="102" spans="1:73" ht="38.1" customHeight="1">
      <c r="A102" s="519"/>
      <c r="B102" s="446"/>
      <c r="C102" s="478"/>
      <c r="D102" s="449"/>
      <c r="E102" s="449"/>
      <c r="F102" s="445"/>
      <c r="G102" s="445"/>
      <c r="H102" s="377"/>
      <c r="I102" s="377"/>
      <c r="J102" s="377"/>
      <c r="K102" s="377"/>
      <c r="L102" s="377"/>
      <c r="M102" s="377"/>
      <c r="N102" s="377"/>
      <c r="O102" s="377"/>
      <c r="P102" s="377"/>
      <c r="Q102" s="377"/>
      <c r="R102" s="377"/>
      <c r="S102" s="377"/>
      <c r="T102" s="377"/>
      <c r="U102" s="377"/>
      <c r="V102" s="377"/>
      <c r="W102" s="377"/>
      <c r="X102" s="377"/>
      <c r="Y102" s="377"/>
      <c r="Z102" s="377"/>
      <c r="AA102" s="377"/>
      <c r="AB102" s="377"/>
      <c r="AC102" s="377"/>
      <c r="AD102" s="377"/>
      <c r="AE102" s="377"/>
      <c r="AF102" s="377"/>
      <c r="AG102" s="377"/>
      <c r="AH102" s="377"/>
      <c r="AI102" s="377"/>
      <c r="AJ102" s="377"/>
      <c r="AK102" s="408"/>
      <c r="AL102" s="408"/>
      <c r="AM102" s="377"/>
      <c r="AN102" s="377"/>
      <c r="AO102" s="377"/>
      <c r="AP102" s="377"/>
      <c r="AQ102" s="408"/>
      <c r="AR102" s="377"/>
      <c r="AS102" s="377"/>
      <c r="AT102" s="377"/>
      <c r="AU102" s="377"/>
      <c r="AV102" s="377"/>
      <c r="AW102" s="254"/>
      <c r="AX102" s="254"/>
      <c r="AY102" s="254"/>
      <c r="AZ102" s="254"/>
      <c r="BA102" s="254"/>
      <c r="BB102" s="254"/>
      <c r="BC102" s="254"/>
      <c r="BD102" s="254"/>
      <c r="BE102" s="254"/>
      <c r="BF102" s="254"/>
      <c r="BG102" s="254"/>
      <c r="BH102" s="254"/>
      <c r="BI102" s="254"/>
      <c r="BJ102" s="254"/>
      <c r="BK102" s="254"/>
      <c r="BL102" s="254"/>
      <c r="BM102" s="254"/>
      <c r="BN102" s="254"/>
      <c r="BO102" s="254"/>
      <c r="BP102" s="254"/>
      <c r="BQ102" s="254"/>
      <c r="BR102" s="254"/>
      <c r="BS102" s="254"/>
      <c r="BT102" s="254"/>
      <c r="BU102" s="254"/>
    </row>
    <row r="103" spans="1:73" ht="38.1" customHeight="1">
      <c r="A103" s="519"/>
      <c r="B103" s="451" t="s">
        <v>179</v>
      </c>
      <c r="C103" s="481"/>
      <c r="D103" s="449"/>
      <c r="E103" s="449"/>
      <c r="F103" s="449"/>
      <c r="G103" s="449"/>
      <c r="H103" s="377"/>
      <c r="I103" s="377"/>
      <c r="J103" s="377"/>
      <c r="K103" s="377"/>
      <c r="L103" s="377"/>
      <c r="M103" s="377"/>
      <c r="N103" s="377"/>
      <c r="O103" s="377"/>
      <c r="P103" s="377"/>
      <c r="Q103" s="377"/>
      <c r="R103" s="377"/>
      <c r="S103" s="377"/>
      <c r="T103" s="377"/>
      <c r="U103" s="377"/>
      <c r="V103" s="377"/>
      <c r="W103" s="377"/>
      <c r="X103" s="377"/>
      <c r="Y103" s="377"/>
      <c r="Z103" s="377"/>
      <c r="AA103" s="377"/>
      <c r="AB103" s="377"/>
      <c r="AC103" s="377"/>
      <c r="AD103" s="377"/>
      <c r="AE103" s="377"/>
      <c r="AF103" s="377"/>
      <c r="AG103" s="377"/>
      <c r="AH103" s="377"/>
      <c r="AI103" s="377"/>
      <c r="AJ103" s="377"/>
      <c r="AK103" s="408"/>
      <c r="AL103" s="408"/>
      <c r="AM103" s="377"/>
      <c r="AN103" s="377"/>
      <c r="AO103" s="377"/>
      <c r="AP103" s="377"/>
      <c r="AQ103" s="408"/>
      <c r="AR103" s="377"/>
      <c r="AS103" s="377"/>
      <c r="AT103" s="377"/>
      <c r="AU103" s="377"/>
      <c r="AV103" s="377"/>
      <c r="AW103" s="254"/>
      <c r="AX103" s="254"/>
      <c r="AY103" s="254"/>
      <c r="AZ103" s="254"/>
      <c r="BA103" s="254"/>
      <c r="BB103" s="254"/>
      <c r="BC103" s="254"/>
      <c r="BD103" s="254"/>
      <c r="BE103" s="254"/>
      <c r="BF103" s="254"/>
      <c r="BG103" s="254"/>
      <c r="BH103" s="254"/>
      <c r="BI103" s="254"/>
      <c r="BJ103" s="254"/>
      <c r="BK103" s="254"/>
      <c r="BL103" s="254"/>
      <c r="BM103" s="254"/>
      <c r="BN103" s="254"/>
      <c r="BO103" s="254"/>
      <c r="BP103" s="254"/>
      <c r="BQ103" s="254"/>
      <c r="BR103" s="254"/>
      <c r="BS103" s="254"/>
      <c r="BT103" s="254"/>
      <c r="BU103" s="254"/>
    </row>
    <row r="104" spans="1:73" ht="38.1" customHeight="1">
      <c r="A104" s="519"/>
      <c r="B104" s="447" t="s">
        <v>48</v>
      </c>
      <c r="C104" s="475"/>
      <c r="D104" s="445"/>
      <c r="E104" s="449"/>
      <c r="F104" s="449"/>
      <c r="G104" s="449"/>
      <c r="H104" s="377"/>
      <c r="I104" s="377"/>
      <c r="J104" s="377"/>
      <c r="K104" s="377"/>
      <c r="L104" s="377"/>
      <c r="M104" s="377"/>
      <c r="N104" s="377"/>
      <c r="O104" s="377"/>
      <c r="P104" s="377"/>
      <c r="Q104" s="377"/>
      <c r="R104" s="377"/>
      <c r="S104" s="377"/>
      <c r="T104" s="377"/>
      <c r="U104" s="377"/>
      <c r="V104" s="377"/>
      <c r="W104" s="377"/>
      <c r="X104" s="377"/>
      <c r="Y104" s="377"/>
      <c r="Z104" s="377"/>
      <c r="AA104" s="377"/>
      <c r="AB104" s="377"/>
      <c r="AC104" s="377"/>
      <c r="AD104" s="377"/>
      <c r="AE104" s="377"/>
      <c r="AF104" s="377"/>
      <c r="AG104" s="377"/>
      <c r="AH104" s="377"/>
      <c r="AI104" s="377"/>
      <c r="AJ104" s="377"/>
      <c r="AK104" s="408"/>
      <c r="AL104" s="408"/>
      <c r="AM104" s="377"/>
      <c r="AN104" s="377"/>
      <c r="AO104" s="377"/>
      <c r="AP104" s="377"/>
      <c r="AQ104" s="408"/>
      <c r="AR104" s="377"/>
      <c r="AS104" s="377"/>
      <c r="AT104" s="377"/>
      <c r="AU104" s="377"/>
      <c r="AV104" s="377"/>
      <c r="AW104" s="254"/>
      <c r="AX104" s="254"/>
      <c r="AY104" s="254"/>
      <c r="AZ104" s="254"/>
      <c r="BA104" s="254"/>
      <c r="BB104" s="254"/>
      <c r="BC104" s="254"/>
      <c r="BD104" s="254"/>
      <c r="BE104" s="254"/>
      <c r="BF104" s="254"/>
      <c r="BG104" s="254"/>
      <c r="BH104" s="254"/>
      <c r="BI104" s="254"/>
      <c r="BJ104" s="254"/>
      <c r="BK104" s="254"/>
      <c r="BL104" s="254"/>
      <c r="BM104" s="254"/>
      <c r="BN104" s="254"/>
      <c r="BO104" s="254"/>
      <c r="BP104" s="254"/>
      <c r="BQ104" s="254"/>
      <c r="BR104" s="254"/>
      <c r="BS104" s="254"/>
      <c r="BT104" s="254"/>
      <c r="BU104" s="254"/>
    </row>
    <row r="105" spans="1:73" ht="38.1" customHeight="1">
      <c r="A105" s="519"/>
      <c r="B105" s="448" t="str">
        <f>A33</f>
        <v>Broad</v>
      </c>
      <c r="C105" s="475"/>
      <c r="D105" s="445"/>
      <c r="E105" s="449"/>
      <c r="F105" s="449"/>
      <c r="G105" s="449"/>
      <c r="H105" s="377"/>
      <c r="I105" s="377"/>
      <c r="J105" s="377"/>
      <c r="K105" s="377"/>
      <c r="L105" s="377"/>
      <c r="M105" s="377"/>
      <c r="N105" s="377"/>
      <c r="O105" s="377"/>
      <c r="P105" s="377"/>
      <c r="Q105" s="377"/>
      <c r="R105" s="377"/>
      <c r="S105" s="377"/>
      <c r="T105" s="377"/>
      <c r="U105" s="377"/>
      <c r="V105" s="377"/>
      <c r="W105" s="377"/>
      <c r="X105" s="377"/>
      <c r="Y105" s="377"/>
      <c r="Z105" s="377"/>
      <c r="AA105" s="377"/>
      <c r="AB105" s="377"/>
      <c r="AC105" s="377"/>
      <c r="AD105" s="377"/>
      <c r="AE105" s="377"/>
      <c r="AF105" s="377"/>
      <c r="AG105" s="377"/>
      <c r="AH105" s="377"/>
      <c r="AI105" s="377"/>
      <c r="AJ105" s="377"/>
      <c r="AK105" s="408"/>
      <c r="AL105" s="408"/>
      <c r="AM105" s="377"/>
      <c r="AN105" s="377"/>
      <c r="AO105" s="377"/>
      <c r="AP105" s="377"/>
      <c r="AQ105" s="408"/>
      <c r="AR105" s="377"/>
      <c r="AS105" s="377"/>
      <c r="AT105" s="377"/>
      <c r="AU105" s="377"/>
      <c r="AV105" s="377"/>
      <c r="AW105" s="254"/>
      <c r="AX105" s="254"/>
      <c r="AY105" s="254"/>
      <c r="AZ105" s="254"/>
      <c r="BA105" s="254"/>
      <c r="BB105" s="254"/>
      <c r="BC105" s="254"/>
      <c r="BD105" s="254"/>
      <c r="BE105" s="254"/>
      <c r="BF105" s="254"/>
      <c r="BG105" s="254"/>
      <c r="BH105" s="254"/>
      <c r="BI105" s="254"/>
      <c r="BJ105" s="254"/>
      <c r="BK105" s="254"/>
      <c r="BL105" s="254"/>
      <c r="BM105" s="254"/>
      <c r="BN105" s="254"/>
      <c r="BO105" s="254"/>
      <c r="BP105" s="254"/>
      <c r="BQ105" s="254"/>
      <c r="BR105" s="254"/>
      <c r="BS105" s="254"/>
      <c r="BT105" s="254"/>
      <c r="BU105" s="254"/>
    </row>
    <row r="106" spans="1:73" ht="38.1" customHeight="1">
      <c r="A106" s="519"/>
      <c r="B106" s="449"/>
      <c r="C106" s="475"/>
      <c r="D106" s="445"/>
      <c r="E106" s="449"/>
      <c r="F106" s="449"/>
      <c r="G106" s="449"/>
      <c r="H106" s="377"/>
      <c r="I106" s="377"/>
      <c r="J106" s="377"/>
      <c r="K106" s="377"/>
      <c r="L106" s="377"/>
      <c r="M106" s="377"/>
      <c r="N106" s="377"/>
      <c r="O106" s="377"/>
      <c r="P106" s="377"/>
      <c r="Q106" s="377"/>
      <c r="R106" s="377"/>
      <c r="S106" s="377"/>
      <c r="T106" s="377"/>
      <c r="U106" s="377"/>
      <c r="V106" s="377"/>
      <c r="W106" s="377"/>
      <c r="X106" s="377"/>
      <c r="Y106" s="377"/>
      <c r="Z106" s="377"/>
      <c r="AA106" s="377"/>
      <c r="AB106" s="377"/>
      <c r="AC106" s="377"/>
      <c r="AD106" s="377"/>
      <c r="AE106" s="377"/>
      <c r="AF106" s="377"/>
      <c r="AG106" s="377"/>
      <c r="AH106" s="377"/>
      <c r="AI106" s="377"/>
      <c r="AJ106" s="377"/>
      <c r="AK106" s="408"/>
      <c r="AL106" s="408"/>
      <c r="AM106" s="377"/>
      <c r="AN106" s="377"/>
      <c r="AO106" s="377"/>
      <c r="AP106" s="377"/>
      <c r="AQ106" s="408"/>
      <c r="AR106" s="377"/>
      <c r="AS106" s="377"/>
      <c r="AT106" s="377"/>
      <c r="AU106" s="377"/>
      <c r="AV106" s="377"/>
      <c r="AW106" s="254"/>
      <c r="AX106" s="254"/>
      <c r="AY106" s="254"/>
      <c r="AZ106" s="254"/>
      <c r="BA106" s="254"/>
      <c r="BB106" s="254"/>
      <c r="BC106" s="254"/>
      <c r="BD106" s="254"/>
      <c r="BE106" s="254"/>
      <c r="BF106" s="254"/>
      <c r="BG106" s="254"/>
      <c r="BH106" s="254"/>
      <c r="BI106" s="254"/>
      <c r="BJ106" s="254"/>
      <c r="BK106" s="254"/>
      <c r="BL106" s="254"/>
      <c r="BM106" s="254"/>
      <c r="BN106" s="254"/>
      <c r="BO106" s="254"/>
      <c r="BP106" s="254"/>
      <c r="BQ106" s="254"/>
      <c r="BR106" s="254"/>
      <c r="BS106" s="254"/>
      <c r="BT106" s="254"/>
      <c r="BU106" s="254"/>
    </row>
    <row r="107" spans="1:73" ht="38.1" customHeight="1">
      <c r="A107" s="519"/>
      <c r="B107" s="445"/>
      <c r="C107" s="482" t="s">
        <v>179</v>
      </c>
      <c r="D107" s="445"/>
      <c r="E107" s="449"/>
      <c r="F107" s="449"/>
      <c r="G107" s="449"/>
      <c r="H107" s="377"/>
      <c r="I107" s="377"/>
      <c r="J107" s="377"/>
      <c r="K107" s="377"/>
      <c r="L107" s="377"/>
      <c r="M107" s="377"/>
      <c r="N107" s="377"/>
      <c r="O107" s="377"/>
      <c r="P107" s="377"/>
      <c r="Q107" s="377"/>
      <c r="R107" s="377"/>
      <c r="S107" s="377"/>
      <c r="T107" s="377"/>
      <c r="U107" s="377"/>
      <c r="V107" s="377"/>
      <c r="W107" s="377"/>
      <c r="X107" s="377"/>
      <c r="Y107" s="377"/>
      <c r="Z107" s="377"/>
      <c r="AA107" s="377"/>
      <c r="AB107" s="377"/>
      <c r="AC107" s="377"/>
      <c r="AD107" s="377"/>
      <c r="AE107" s="377"/>
      <c r="AF107" s="377"/>
      <c r="AG107" s="377"/>
      <c r="AH107" s="377"/>
      <c r="AI107" s="377"/>
      <c r="AJ107" s="377"/>
      <c r="AK107" s="408"/>
      <c r="AL107" s="408"/>
      <c r="AM107" s="377"/>
      <c r="AN107" s="377"/>
      <c r="AO107" s="377"/>
      <c r="AP107" s="377"/>
      <c r="AQ107" s="408"/>
      <c r="AR107" s="377"/>
      <c r="AS107" s="377"/>
      <c r="AT107" s="377"/>
      <c r="AU107" s="377"/>
      <c r="AV107" s="377"/>
      <c r="AW107" s="254"/>
      <c r="AX107" s="254"/>
      <c r="AY107" s="254"/>
      <c r="AZ107" s="254"/>
      <c r="BA107" s="254"/>
      <c r="BB107" s="254"/>
      <c r="BC107" s="254"/>
      <c r="BD107" s="254"/>
      <c r="BE107" s="254"/>
      <c r="BF107" s="254"/>
      <c r="BG107" s="254"/>
      <c r="BH107" s="254"/>
      <c r="BI107" s="254"/>
      <c r="BJ107" s="254"/>
      <c r="BK107" s="254"/>
      <c r="BL107" s="254"/>
      <c r="BM107" s="254"/>
      <c r="BN107" s="254"/>
      <c r="BO107" s="254"/>
      <c r="BP107" s="254"/>
      <c r="BQ107" s="254"/>
      <c r="BR107" s="254"/>
      <c r="BS107" s="254"/>
      <c r="BT107" s="254"/>
      <c r="BU107" s="254"/>
    </row>
    <row r="108" spans="1:73" ht="38.1" customHeight="1">
      <c r="A108" s="519"/>
      <c r="B108" s="445"/>
      <c r="C108" s="479" t="s">
        <v>49</v>
      </c>
      <c r="D108" s="449"/>
      <c r="E108" s="445"/>
      <c r="F108" s="445"/>
      <c r="G108" s="445" t="s">
        <v>41</v>
      </c>
      <c r="H108" s="377"/>
      <c r="I108" s="377"/>
      <c r="J108" s="377"/>
      <c r="K108" s="377"/>
      <c r="L108" s="377"/>
      <c r="M108" s="377"/>
      <c r="N108" s="377"/>
      <c r="O108" s="377"/>
      <c r="P108" s="377"/>
      <c r="Q108" s="377"/>
      <c r="R108" s="377"/>
      <c r="S108" s="377"/>
      <c r="T108" s="377"/>
      <c r="U108" s="377"/>
      <c r="V108" s="377"/>
      <c r="W108" s="377"/>
      <c r="X108" s="377"/>
      <c r="Y108" s="377"/>
      <c r="Z108" s="377"/>
      <c r="AA108" s="377"/>
      <c r="AB108" s="377"/>
      <c r="AC108" s="377"/>
      <c r="AD108" s="377"/>
      <c r="AE108" s="377"/>
      <c r="AF108" s="377"/>
      <c r="AG108" s="377"/>
      <c r="AH108" s="377"/>
      <c r="AI108" s="377"/>
      <c r="AJ108" s="377"/>
      <c r="AK108" s="408"/>
      <c r="AL108" s="408"/>
      <c r="AM108" s="377"/>
      <c r="AN108" s="377"/>
      <c r="AO108" s="377"/>
      <c r="AP108" s="377"/>
      <c r="AQ108" s="408"/>
      <c r="AR108" s="377"/>
      <c r="AS108" s="377"/>
      <c r="AT108" s="377"/>
      <c r="AU108" s="377"/>
      <c r="AV108" s="377"/>
      <c r="AW108" s="254"/>
      <c r="AX108" s="254"/>
      <c r="AY108" s="254"/>
      <c r="AZ108" s="254"/>
      <c r="BA108" s="254"/>
      <c r="BB108" s="254"/>
      <c r="BC108" s="254"/>
      <c r="BD108" s="254"/>
      <c r="BE108" s="254"/>
      <c r="BF108" s="254"/>
      <c r="BG108" s="254"/>
      <c r="BH108" s="254"/>
      <c r="BI108" s="254"/>
      <c r="BJ108" s="254"/>
      <c r="BK108" s="254"/>
      <c r="BL108" s="254"/>
      <c r="BM108" s="254"/>
      <c r="BN108" s="254"/>
      <c r="BO108" s="254"/>
      <c r="BP108" s="254"/>
      <c r="BQ108" s="254"/>
      <c r="BR108" s="254"/>
      <c r="BS108" s="254"/>
      <c r="BT108" s="254"/>
      <c r="BU108" s="254"/>
    </row>
    <row r="109" spans="1:73" ht="38.1" customHeight="1">
      <c r="A109" s="519"/>
      <c r="B109" s="445" t="s">
        <v>50</v>
      </c>
      <c r="C109" s="483"/>
      <c r="D109" s="453"/>
      <c r="E109" s="446"/>
      <c r="F109" s="458"/>
      <c r="G109" s="445" t="s">
        <v>117</v>
      </c>
      <c r="H109" s="377"/>
      <c r="I109" s="377"/>
      <c r="J109" s="377"/>
      <c r="K109" s="377"/>
      <c r="L109" s="377"/>
      <c r="M109" s="377"/>
      <c r="N109" s="377"/>
      <c r="O109" s="377"/>
      <c r="P109" s="377"/>
      <c r="Q109" s="377"/>
      <c r="R109" s="377"/>
      <c r="S109" s="377"/>
      <c r="T109" s="377"/>
      <c r="U109" s="377"/>
      <c r="V109" s="377"/>
      <c r="W109" s="377"/>
      <c r="X109" s="377"/>
      <c r="Y109" s="377"/>
      <c r="Z109" s="377"/>
      <c r="AA109" s="377"/>
      <c r="AB109" s="377"/>
      <c r="AC109" s="377"/>
      <c r="AD109" s="377"/>
      <c r="AE109" s="377"/>
      <c r="AF109" s="377"/>
      <c r="AG109" s="377"/>
      <c r="AH109" s="377"/>
      <c r="AI109" s="377"/>
      <c r="AJ109" s="377"/>
      <c r="AK109" s="408"/>
      <c r="AL109" s="408"/>
      <c r="AM109" s="377"/>
      <c r="AN109" s="377"/>
      <c r="AO109" s="377"/>
      <c r="AP109" s="377"/>
      <c r="AQ109" s="408"/>
      <c r="AR109" s="377"/>
      <c r="AS109" s="377"/>
      <c r="AT109" s="377"/>
      <c r="AU109" s="377"/>
      <c r="AV109" s="377"/>
      <c r="AW109" s="254"/>
      <c r="AX109" s="254"/>
      <c r="AY109" s="254"/>
      <c r="AZ109" s="254"/>
      <c r="BA109" s="254"/>
      <c r="BB109" s="254"/>
      <c r="BC109" s="254"/>
      <c r="BD109" s="254"/>
      <c r="BE109" s="254"/>
      <c r="BF109" s="254"/>
      <c r="BG109" s="254"/>
      <c r="BH109" s="254"/>
      <c r="BI109" s="254"/>
      <c r="BJ109" s="254"/>
      <c r="BK109" s="254"/>
      <c r="BL109" s="254"/>
      <c r="BM109" s="254"/>
      <c r="BN109" s="254"/>
      <c r="BO109" s="254"/>
      <c r="BP109" s="254"/>
      <c r="BQ109" s="254"/>
      <c r="BR109" s="254"/>
      <c r="BS109" s="254"/>
      <c r="BT109" s="254"/>
      <c r="BU109" s="254"/>
    </row>
    <row r="110" spans="1:73" ht="38.1" customHeight="1">
      <c r="A110" s="519"/>
      <c r="B110" s="445" t="s">
        <v>41</v>
      </c>
      <c r="C110" s="475"/>
      <c r="D110" s="449"/>
      <c r="E110" s="451" t="s">
        <v>180</v>
      </c>
      <c r="F110" s="453"/>
      <c r="G110" s="445"/>
      <c r="H110" s="377"/>
      <c r="I110" s="377"/>
      <c r="J110" s="377"/>
      <c r="K110" s="377"/>
      <c r="L110" s="377"/>
      <c r="M110" s="377"/>
      <c r="N110" s="377"/>
      <c r="O110" s="377"/>
      <c r="P110" s="377"/>
      <c r="Q110" s="377"/>
      <c r="R110" s="377"/>
      <c r="S110" s="377"/>
      <c r="T110" s="377"/>
      <c r="U110" s="377"/>
      <c r="V110" s="377"/>
      <c r="W110" s="377"/>
      <c r="X110" s="377"/>
      <c r="Y110" s="377"/>
      <c r="Z110" s="377"/>
      <c r="AA110" s="377"/>
      <c r="AB110" s="377"/>
      <c r="AC110" s="377"/>
      <c r="AD110" s="377"/>
      <c r="AE110" s="377"/>
      <c r="AF110" s="377"/>
      <c r="AG110" s="377"/>
      <c r="AH110" s="377"/>
      <c r="AI110" s="377"/>
      <c r="AJ110" s="377"/>
      <c r="AK110" s="408"/>
      <c r="AL110" s="408"/>
      <c r="AM110" s="377"/>
      <c r="AN110" s="377"/>
      <c r="AO110" s="377"/>
      <c r="AP110" s="377"/>
      <c r="AQ110" s="408"/>
      <c r="AR110" s="377"/>
      <c r="AS110" s="377"/>
      <c r="AT110" s="377"/>
      <c r="AU110" s="377"/>
      <c r="AV110" s="377"/>
      <c r="AW110" s="254"/>
      <c r="AX110" s="254"/>
      <c r="AY110" s="254"/>
      <c r="AZ110" s="254"/>
      <c r="BA110" s="254"/>
      <c r="BB110" s="254"/>
      <c r="BC110" s="254"/>
      <c r="BD110" s="254"/>
      <c r="BE110" s="254"/>
      <c r="BF110" s="254"/>
      <c r="BG110" s="254"/>
      <c r="BH110" s="254"/>
      <c r="BI110" s="254"/>
      <c r="BJ110" s="254"/>
      <c r="BK110" s="254"/>
      <c r="BL110" s="254"/>
      <c r="BM110" s="254"/>
      <c r="BN110" s="254"/>
      <c r="BO110" s="254"/>
      <c r="BP110" s="254"/>
      <c r="BQ110" s="254"/>
      <c r="BR110" s="254"/>
      <c r="BS110" s="254"/>
      <c r="BT110" s="254"/>
      <c r="BU110" s="254"/>
    </row>
    <row r="111" spans="1:73" ht="38.1" customHeight="1">
      <c r="A111" s="519"/>
      <c r="B111" s="445"/>
      <c r="C111" s="484" t="s">
        <v>185</v>
      </c>
      <c r="D111" s="458"/>
      <c r="E111" s="448"/>
      <c r="F111" s="445"/>
      <c r="G111" s="445"/>
      <c r="H111" s="377"/>
      <c r="I111" s="377"/>
      <c r="J111" s="377"/>
      <c r="K111" s="377"/>
      <c r="L111" s="377"/>
      <c r="M111" s="377"/>
      <c r="N111" s="377"/>
      <c r="O111" s="377"/>
      <c r="P111" s="377"/>
      <c r="Q111" s="377"/>
      <c r="R111" s="377"/>
      <c r="S111" s="377"/>
      <c r="T111" s="377"/>
      <c r="U111" s="377"/>
      <c r="V111" s="377"/>
      <c r="W111" s="377"/>
      <c r="X111" s="377"/>
      <c r="Y111" s="377"/>
      <c r="Z111" s="377"/>
      <c r="AA111" s="377"/>
      <c r="AB111" s="377"/>
      <c r="AC111" s="377"/>
      <c r="AD111" s="377"/>
      <c r="AE111" s="377"/>
      <c r="AF111" s="377"/>
      <c r="AG111" s="377"/>
      <c r="AH111" s="377"/>
      <c r="AI111" s="377"/>
      <c r="AJ111" s="377"/>
      <c r="AK111" s="408"/>
      <c r="AL111" s="408"/>
      <c r="AM111" s="377"/>
      <c r="AN111" s="377"/>
      <c r="AO111" s="377"/>
      <c r="AP111" s="377"/>
      <c r="AQ111" s="408"/>
      <c r="AR111" s="377"/>
      <c r="AS111" s="377"/>
      <c r="AT111" s="377"/>
      <c r="AU111" s="377"/>
      <c r="AV111" s="377"/>
      <c r="AW111" s="254"/>
      <c r="AX111" s="254"/>
      <c r="AY111" s="254"/>
      <c r="AZ111" s="254"/>
      <c r="BA111" s="254"/>
      <c r="BB111" s="254"/>
      <c r="BC111" s="254"/>
      <c r="BD111" s="254"/>
      <c r="BE111" s="254"/>
      <c r="BF111" s="254"/>
      <c r="BG111" s="254"/>
      <c r="BH111" s="254"/>
      <c r="BI111" s="254"/>
      <c r="BJ111" s="254"/>
      <c r="BK111" s="254"/>
      <c r="BL111" s="254"/>
      <c r="BM111" s="254"/>
      <c r="BN111" s="254"/>
      <c r="BO111" s="254"/>
      <c r="BP111" s="254"/>
      <c r="BQ111" s="254"/>
      <c r="BR111" s="254"/>
      <c r="BS111" s="254"/>
      <c r="BT111" s="254"/>
      <c r="BU111" s="254"/>
    </row>
    <row r="112" spans="1:73" ht="38.1" customHeight="1">
      <c r="A112" s="519"/>
      <c r="B112" s="445"/>
      <c r="C112" s="479" t="s">
        <v>51</v>
      </c>
      <c r="D112" s="449"/>
      <c r="E112" s="445"/>
      <c r="F112" s="445"/>
      <c r="G112" s="445"/>
      <c r="H112" s="377"/>
      <c r="I112" s="377"/>
      <c r="J112" s="377"/>
      <c r="K112" s="377"/>
      <c r="L112" s="377"/>
      <c r="M112" s="377"/>
      <c r="N112" s="377"/>
      <c r="O112" s="377"/>
      <c r="P112" s="377"/>
      <c r="Q112" s="377"/>
      <c r="R112" s="377"/>
      <c r="S112" s="377"/>
      <c r="T112" s="377"/>
      <c r="U112" s="377"/>
      <c r="V112" s="377"/>
      <c r="W112" s="377"/>
      <c r="X112" s="377"/>
      <c r="Y112" s="377"/>
      <c r="Z112" s="377"/>
      <c r="AA112" s="377"/>
      <c r="AB112" s="377"/>
      <c r="AC112" s="377"/>
      <c r="AD112" s="377"/>
      <c r="AE112" s="377"/>
      <c r="AF112" s="377"/>
      <c r="AG112" s="377"/>
      <c r="AH112" s="377"/>
      <c r="AI112" s="377"/>
      <c r="AJ112" s="377"/>
      <c r="AK112" s="408"/>
      <c r="AL112" s="408"/>
      <c r="AM112" s="377"/>
      <c r="AN112" s="377"/>
      <c r="AO112" s="377"/>
      <c r="AP112" s="377"/>
      <c r="AQ112" s="408"/>
      <c r="AR112" s="377"/>
      <c r="AS112" s="377"/>
      <c r="AT112" s="377"/>
      <c r="AU112" s="377"/>
      <c r="AV112" s="377"/>
      <c r="AW112" s="254"/>
      <c r="AX112" s="254"/>
      <c r="AY112" s="254"/>
      <c r="AZ112" s="254"/>
      <c r="BA112" s="254"/>
      <c r="BB112" s="254"/>
      <c r="BC112" s="254"/>
      <c r="BD112" s="254"/>
      <c r="BE112" s="254"/>
      <c r="BF112" s="254"/>
      <c r="BG112" s="254"/>
      <c r="BH112" s="254"/>
      <c r="BI112" s="254"/>
      <c r="BJ112" s="254"/>
      <c r="BK112" s="254"/>
      <c r="BL112" s="254"/>
      <c r="BM112" s="254"/>
      <c r="BN112" s="254"/>
      <c r="BO112" s="254"/>
      <c r="BP112" s="254"/>
      <c r="BQ112" s="254"/>
      <c r="BR112" s="254"/>
      <c r="BS112" s="254"/>
      <c r="BT112" s="254"/>
      <c r="BU112" s="254"/>
    </row>
    <row r="113" spans="1:73" ht="38.1" customHeight="1">
      <c r="A113" s="519"/>
      <c r="B113" s="449"/>
      <c r="C113" s="481"/>
      <c r="D113" s="449"/>
      <c r="E113" s="449"/>
      <c r="F113" s="449"/>
      <c r="G113" s="445"/>
      <c r="H113" s="377"/>
      <c r="I113" s="377"/>
      <c r="J113" s="377"/>
      <c r="K113" s="377"/>
      <c r="L113" s="377"/>
      <c r="M113" s="377"/>
      <c r="N113" s="377"/>
      <c r="O113" s="377"/>
      <c r="P113" s="377"/>
      <c r="Q113" s="377"/>
      <c r="R113" s="377"/>
      <c r="S113" s="377"/>
      <c r="T113" s="377"/>
      <c r="U113" s="377"/>
      <c r="V113" s="377"/>
      <c r="W113" s="377"/>
      <c r="X113" s="377"/>
      <c r="Y113" s="377"/>
      <c r="Z113" s="377"/>
      <c r="AA113" s="377"/>
      <c r="AB113" s="377"/>
      <c r="AC113" s="377"/>
      <c r="AD113" s="377"/>
      <c r="AE113" s="377"/>
      <c r="AF113" s="377"/>
      <c r="AG113" s="377"/>
      <c r="AH113" s="377"/>
      <c r="AI113" s="377"/>
      <c r="AJ113" s="377"/>
      <c r="AK113" s="408"/>
      <c r="AL113" s="408"/>
      <c r="AM113" s="377"/>
      <c r="AN113" s="377"/>
      <c r="AO113" s="377"/>
      <c r="AP113" s="377"/>
      <c r="AQ113" s="408"/>
      <c r="AR113" s="377"/>
      <c r="AS113" s="377"/>
      <c r="AT113" s="377"/>
      <c r="AU113" s="377"/>
      <c r="AV113" s="377"/>
      <c r="AW113" s="254"/>
      <c r="AX113" s="254"/>
      <c r="AY113" s="254"/>
      <c r="AZ113" s="254"/>
      <c r="BA113" s="254"/>
      <c r="BB113" s="254"/>
      <c r="BC113" s="254"/>
      <c r="BD113" s="254"/>
      <c r="BE113" s="254"/>
      <c r="BF113" s="254"/>
      <c r="BG113" s="254"/>
      <c r="BH113" s="254"/>
      <c r="BI113" s="254"/>
      <c r="BJ113" s="254"/>
      <c r="BK113" s="254"/>
      <c r="BL113" s="254"/>
      <c r="BM113" s="254"/>
      <c r="BN113" s="254"/>
      <c r="BO113" s="254"/>
      <c r="BP113" s="254"/>
      <c r="BQ113" s="254"/>
      <c r="BR113" s="254"/>
      <c r="BS113" s="254"/>
      <c r="BT113" s="254"/>
      <c r="BU113" s="254"/>
    </row>
    <row r="114" spans="1:73" ht="38.1" customHeight="1">
      <c r="A114" s="519"/>
      <c r="B114" s="445" t="str">
        <f>A36</f>
        <v>Roth</v>
      </c>
      <c r="C114" s="475"/>
      <c r="D114" s="445"/>
      <c r="E114" s="445"/>
      <c r="F114" s="445"/>
      <c r="G114" s="445"/>
      <c r="H114" s="377"/>
      <c r="I114" s="377"/>
      <c r="J114" s="377"/>
      <c r="K114" s="377"/>
      <c r="L114" s="377"/>
      <c r="M114" s="377"/>
      <c r="N114" s="377"/>
      <c r="O114" s="377"/>
      <c r="P114" s="377"/>
      <c r="Q114" s="377"/>
      <c r="R114" s="377"/>
      <c r="S114" s="377"/>
      <c r="T114" s="377"/>
      <c r="U114" s="377"/>
      <c r="V114" s="377"/>
      <c r="W114" s="377"/>
      <c r="X114" s="377"/>
      <c r="Y114" s="377"/>
      <c r="Z114" s="377"/>
      <c r="AA114" s="377"/>
      <c r="AB114" s="377"/>
      <c r="AC114" s="377"/>
      <c r="AD114" s="377"/>
      <c r="AE114" s="377"/>
      <c r="AF114" s="377"/>
      <c r="AG114" s="377"/>
      <c r="AH114" s="377"/>
      <c r="AI114" s="377"/>
      <c r="AJ114" s="377"/>
      <c r="AK114" s="408"/>
      <c r="AL114" s="408"/>
      <c r="AM114" s="377"/>
      <c r="AN114" s="377"/>
      <c r="AO114" s="377"/>
      <c r="AP114" s="377"/>
      <c r="AQ114" s="408"/>
      <c r="AR114" s="377"/>
      <c r="AS114" s="377"/>
      <c r="AT114" s="377"/>
      <c r="AU114" s="377"/>
      <c r="AV114" s="377"/>
      <c r="AW114" s="254"/>
      <c r="AX114" s="254"/>
      <c r="AY114" s="254"/>
      <c r="AZ114" s="254"/>
      <c r="BA114" s="254"/>
      <c r="BB114" s="254"/>
      <c r="BC114" s="254"/>
      <c r="BD114" s="254"/>
      <c r="BE114" s="254"/>
      <c r="BF114" s="254"/>
      <c r="BG114" s="254"/>
      <c r="BH114" s="254"/>
      <c r="BI114" s="254"/>
      <c r="BJ114" s="254"/>
      <c r="BK114" s="254"/>
      <c r="BL114" s="254"/>
      <c r="BM114" s="254"/>
      <c r="BN114" s="254"/>
      <c r="BO114" s="254"/>
      <c r="BP114" s="254"/>
      <c r="BQ114" s="254"/>
      <c r="BR114" s="254"/>
      <c r="BS114" s="254"/>
      <c r="BT114" s="254"/>
      <c r="BU114" s="254"/>
    </row>
    <row r="115" spans="1:73" ht="38.1" customHeight="1">
      <c r="A115" s="519"/>
      <c r="B115" s="446"/>
      <c r="C115" s="475"/>
      <c r="D115" s="445"/>
      <c r="E115" s="445" t="s">
        <v>52</v>
      </c>
      <c r="F115" s="445"/>
      <c r="G115" s="445"/>
      <c r="H115" s="377"/>
      <c r="I115" s="377"/>
      <c r="J115" s="377"/>
      <c r="K115" s="377"/>
      <c r="L115" s="377"/>
      <c r="M115" s="377"/>
      <c r="N115" s="377"/>
      <c r="O115" s="377"/>
      <c r="P115" s="377"/>
      <c r="Q115" s="377"/>
      <c r="R115" s="377"/>
      <c r="S115" s="377"/>
      <c r="T115" s="377"/>
      <c r="U115" s="377"/>
      <c r="V115" s="377"/>
      <c r="W115" s="377"/>
      <c r="X115" s="377"/>
      <c r="Y115" s="377"/>
      <c r="Z115" s="377"/>
      <c r="AA115" s="377"/>
      <c r="AB115" s="377"/>
      <c r="AC115" s="377"/>
      <c r="AD115" s="377"/>
      <c r="AE115" s="377"/>
      <c r="AF115" s="377"/>
      <c r="AG115" s="377"/>
      <c r="AH115" s="377"/>
      <c r="AI115" s="377"/>
      <c r="AJ115" s="377"/>
      <c r="AK115" s="408"/>
      <c r="AL115" s="408"/>
      <c r="AM115" s="377"/>
      <c r="AN115" s="377"/>
      <c r="AO115" s="377"/>
      <c r="AP115" s="377"/>
      <c r="AQ115" s="408"/>
      <c r="AR115" s="377"/>
      <c r="AS115" s="377"/>
      <c r="AT115" s="377"/>
      <c r="AU115" s="377"/>
      <c r="AV115" s="377"/>
      <c r="AW115" s="254"/>
      <c r="AX115" s="254"/>
      <c r="AY115" s="254"/>
      <c r="AZ115" s="254"/>
      <c r="BA115" s="254"/>
      <c r="BB115" s="254"/>
      <c r="BC115" s="254"/>
      <c r="BD115" s="254"/>
      <c r="BE115" s="254"/>
      <c r="BF115" s="254"/>
      <c r="BG115" s="254"/>
      <c r="BH115" s="254"/>
      <c r="BI115" s="254"/>
      <c r="BJ115" s="254"/>
      <c r="BK115" s="254"/>
      <c r="BL115" s="254"/>
      <c r="BM115" s="254"/>
      <c r="BN115" s="254"/>
      <c r="BO115" s="254"/>
      <c r="BP115" s="254"/>
      <c r="BQ115" s="254"/>
      <c r="BR115" s="254"/>
      <c r="BS115" s="254"/>
      <c r="BT115" s="254"/>
      <c r="BU115" s="254"/>
    </row>
    <row r="116" spans="1:73" ht="38.1" customHeight="1">
      <c r="A116" s="519"/>
      <c r="B116" s="451" t="s">
        <v>37</v>
      </c>
      <c r="C116" s="475"/>
      <c r="D116" s="445"/>
      <c r="E116" s="445"/>
      <c r="F116" s="445"/>
      <c r="G116" s="445"/>
      <c r="H116" s="377"/>
      <c r="I116" s="377"/>
      <c r="J116" s="377"/>
      <c r="K116" s="377"/>
      <c r="L116" s="377"/>
      <c r="M116" s="377"/>
      <c r="N116" s="377"/>
      <c r="O116" s="377"/>
      <c r="P116" s="377"/>
      <c r="Q116" s="377"/>
      <c r="R116" s="377"/>
      <c r="S116" s="377"/>
      <c r="T116" s="377"/>
      <c r="U116" s="377"/>
      <c r="V116" s="377"/>
      <c r="W116" s="377"/>
      <c r="X116" s="377"/>
      <c r="Y116" s="377"/>
      <c r="Z116" s="377"/>
      <c r="AA116" s="377"/>
      <c r="AB116" s="377"/>
      <c r="AC116" s="377"/>
      <c r="AD116" s="377"/>
      <c r="AE116" s="377"/>
      <c r="AF116" s="377"/>
      <c r="AG116" s="377"/>
      <c r="AH116" s="377"/>
      <c r="AI116" s="377"/>
      <c r="AJ116" s="377"/>
      <c r="AK116" s="408"/>
      <c r="AL116" s="408"/>
      <c r="AM116" s="377"/>
      <c r="AN116" s="377"/>
      <c r="AO116" s="377"/>
      <c r="AP116" s="377"/>
      <c r="AQ116" s="408"/>
      <c r="AR116" s="377"/>
      <c r="AS116" s="377"/>
      <c r="AT116" s="377"/>
      <c r="AU116" s="377"/>
      <c r="AV116" s="377"/>
      <c r="AW116" s="254"/>
      <c r="AX116" s="254"/>
      <c r="AY116" s="254"/>
      <c r="AZ116" s="254"/>
      <c r="BA116" s="254"/>
      <c r="BB116" s="254"/>
      <c r="BC116" s="254"/>
      <c r="BD116" s="254"/>
      <c r="BE116" s="254"/>
      <c r="BF116" s="254"/>
      <c r="BG116" s="254"/>
      <c r="BH116" s="254"/>
      <c r="BI116" s="254"/>
      <c r="BJ116" s="254"/>
      <c r="BK116" s="254"/>
      <c r="BL116" s="254"/>
      <c r="BM116" s="254"/>
      <c r="BN116" s="254"/>
      <c r="BO116" s="254"/>
      <c r="BP116" s="254"/>
      <c r="BQ116" s="254"/>
      <c r="BR116" s="254"/>
      <c r="BS116" s="254"/>
      <c r="BT116" s="254"/>
      <c r="BU116" s="254"/>
    </row>
    <row r="117" spans="1:73" ht="38.1" customHeight="1">
      <c r="A117" s="519"/>
      <c r="B117" s="447" t="s">
        <v>40</v>
      </c>
      <c r="C117" s="477"/>
      <c r="D117" s="445"/>
      <c r="E117" s="445"/>
      <c r="F117" s="445"/>
      <c r="G117" s="445"/>
      <c r="H117" s="377"/>
      <c r="I117" s="377"/>
      <c r="J117" s="377"/>
      <c r="K117" s="377"/>
      <c r="L117" s="377"/>
      <c r="M117" s="377"/>
      <c r="N117" s="377"/>
      <c r="O117" s="377"/>
      <c r="P117" s="377"/>
      <c r="Q117" s="377"/>
      <c r="R117" s="377"/>
      <c r="S117" s="377"/>
      <c r="T117" s="377"/>
      <c r="U117" s="377"/>
      <c r="V117" s="377"/>
      <c r="W117" s="377"/>
      <c r="X117" s="377"/>
      <c r="Y117" s="377"/>
      <c r="Z117" s="377"/>
      <c r="AA117" s="377"/>
      <c r="AB117" s="377"/>
      <c r="AC117" s="377"/>
      <c r="AD117" s="377"/>
      <c r="AE117" s="377"/>
      <c r="AF117" s="377"/>
      <c r="AG117" s="377"/>
      <c r="AH117" s="377"/>
      <c r="AI117" s="377"/>
      <c r="AJ117" s="377"/>
      <c r="AK117" s="408"/>
      <c r="AL117" s="408"/>
      <c r="AM117" s="377"/>
      <c r="AN117" s="377"/>
      <c r="AO117" s="377"/>
      <c r="AP117" s="377"/>
      <c r="AQ117" s="408"/>
      <c r="AR117" s="377"/>
      <c r="AS117" s="377"/>
      <c r="AT117" s="377"/>
      <c r="AU117" s="377"/>
      <c r="AV117" s="377"/>
      <c r="AW117" s="254"/>
      <c r="AX117" s="254"/>
      <c r="AY117" s="254"/>
      <c r="AZ117" s="254"/>
      <c r="BA117" s="254"/>
      <c r="BB117" s="254"/>
      <c r="BC117" s="254"/>
      <c r="BD117" s="254"/>
      <c r="BE117" s="254"/>
      <c r="BF117" s="254"/>
      <c r="BG117" s="254"/>
      <c r="BH117" s="254"/>
      <c r="BI117" s="254"/>
      <c r="BJ117" s="254"/>
      <c r="BK117" s="254"/>
      <c r="BL117" s="254"/>
      <c r="BM117" s="254"/>
      <c r="BN117" s="254"/>
      <c r="BO117" s="254"/>
      <c r="BP117" s="254"/>
      <c r="BQ117" s="254"/>
      <c r="BR117" s="254"/>
      <c r="BS117" s="254"/>
      <c r="BT117" s="254"/>
      <c r="BU117" s="254"/>
    </row>
    <row r="118" spans="1:73" ht="38.1" customHeight="1">
      <c r="A118" s="519"/>
      <c r="B118" s="448" t="str">
        <f>A43</f>
        <v>Fladung</v>
      </c>
      <c r="C118" s="478" t="s">
        <v>37</v>
      </c>
      <c r="D118" s="449"/>
      <c r="E118" s="445"/>
      <c r="F118" s="445"/>
      <c r="G118" s="445"/>
      <c r="H118" s="377"/>
      <c r="I118" s="377"/>
      <c r="J118" s="377"/>
      <c r="K118" s="377"/>
      <c r="L118" s="377"/>
      <c r="M118" s="377"/>
      <c r="N118" s="377"/>
      <c r="O118" s="377"/>
      <c r="P118" s="377"/>
      <c r="Q118" s="377"/>
      <c r="R118" s="377"/>
      <c r="S118" s="377"/>
      <c r="T118" s="377"/>
      <c r="U118" s="377"/>
      <c r="V118" s="377"/>
      <c r="W118" s="377"/>
      <c r="X118" s="377"/>
      <c r="Y118" s="377"/>
      <c r="Z118" s="377"/>
      <c r="AA118" s="377"/>
      <c r="AB118" s="377"/>
      <c r="AC118" s="377"/>
      <c r="AD118" s="377"/>
      <c r="AE118" s="377"/>
      <c r="AF118" s="377"/>
      <c r="AG118" s="377"/>
      <c r="AH118" s="377"/>
      <c r="AI118" s="377"/>
      <c r="AJ118" s="377"/>
      <c r="AK118" s="408"/>
      <c r="AL118" s="408"/>
      <c r="AM118" s="377"/>
      <c r="AN118" s="377"/>
      <c r="AO118" s="377"/>
      <c r="AP118" s="377"/>
      <c r="AQ118" s="408"/>
      <c r="AR118" s="377"/>
      <c r="AS118" s="377"/>
      <c r="AT118" s="377"/>
      <c r="AU118" s="377"/>
      <c r="AV118" s="377"/>
      <c r="AW118" s="254"/>
      <c r="AX118" s="254"/>
      <c r="AY118" s="254"/>
      <c r="AZ118" s="254"/>
      <c r="BA118" s="254"/>
      <c r="BB118" s="254"/>
      <c r="BC118" s="254"/>
      <c r="BD118" s="254"/>
      <c r="BE118" s="254"/>
      <c r="BF118" s="254"/>
      <c r="BG118" s="254"/>
      <c r="BH118" s="254"/>
      <c r="BI118" s="254"/>
      <c r="BJ118" s="254"/>
      <c r="BK118" s="254"/>
      <c r="BL118" s="254"/>
      <c r="BM118" s="254"/>
      <c r="BN118" s="254"/>
      <c r="BO118" s="254"/>
      <c r="BP118" s="254"/>
      <c r="BQ118" s="254"/>
      <c r="BR118" s="254"/>
      <c r="BS118" s="254"/>
      <c r="BT118" s="254"/>
      <c r="BU118" s="254"/>
    </row>
    <row r="119" spans="1:73" ht="38.1" customHeight="1">
      <c r="A119" s="519"/>
      <c r="B119" s="445" t="str">
        <f>A39</f>
        <v>Roliz M</v>
      </c>
      <c r="C119" s="479" t="s">
        <v>40</v>
      </c>
      <c r="D119" s="450"/>
      <c r="E119" s="446"/>
      <c r="F119" s="445"/>
      <c r="G119" s="445"/>
      <c r="H119" s="377"/>
      <c r="I119" s="377"/>
      <c r="J119" s="377"/>
      <c r="K119" s="377"/>
      <c r="L119" s="377"/>
      <c r="M119" s="377"/>
      <c r="N119" s="377"/>
      <c r="O119" s="377"/>
      <c r="P119" s="377"/>
      <c r="Q119" s="377"/>
      <c r="R119" s="377"/>
      <c r="S119" s="377"/>
      <c r="T119" s="377"/>
      <c r="U119" s="377"/>
      <c r="V119" s="377"/>
      <c r="W119" s="377"/>
      <c r="X119" s="377"/>
      <c r="Y119" s="377"/>
      <c r="Z119" s="377"/>
      <c r="AA119" s="377"/>
      <c r="AB119" s="377"/>
      <c r="AC119" s="377"/>
      <c r="AD119" s="377"/>
      <c r="AE119" s="377"/>
      <c r="AF119" s="377"/>
      <c r="AG119" s="377"/>
      <c r="AH119" s="377"/>
      <c r="AI119" s="377"/>
      <c r="AJ119" s="377"/>
      <c r="AK119" s="408"/>
      <c r="AL119" s="408"/>
      <c r="AM119" s="377"/>
      <c r="AN119" s="377"/>
      <c r="AO119" s="377"/>
      <c r="AP119" s="377"/>
      <c r="AQ119" s="408"/>
      <c r="AR119" s="377"/>
      <c r="AS119" s="377"/>
      <c r="AT119" s="377"/>
      <c r="AU119" s="377"/>
      <c r="AV119" s="377"/>
      <c r="AW119" s="254"/>
      <c r="AX119" s="254"/>
      <c r="AY119" s="254"/>
      <c r="AZ119" s="254"/>
      <c r="BA119" s="254"/>
      <c r="BB119" s="254"/>
      <c r="BC119" s="254"/>
      <c r="BD119" s="254"/>
      <c r="BE119" s="254"/>
      <c r="BF119" s="254"/>
      <c r="BG119" s="254"/>
      <c r="BH119" s="254"/>
      <c r="BI119" s="254"/>
      <c r="BJ119" s="254"/>
      <c r="BK119" s="254"/>
      <c r="BL119" s="254"/>
      <c r="BM119" s="254"/>
      <c r="BN119" s="254"/>
      <c r="BO119" s="254"/>
      <c r="BP119" s="254"/>
      <c r="BQ119" s="254"/>
      <c r="BR119" s="254"/>
      <c r="BS119" s="254"/>
      <c r="BT119" s="254"/>
      <c r="BU119" s="254"/>
    </row>
    <row r="120" spans="1:73" ht="38.1" customHeight="1">
      <c r="A120" s="519"/>
      <c r="B120" s="450"/>
      <c r="C120" s="480"/>
      <c r="D120" s="449"/>
      <c r="E120" s="451"/>
      <c r="F120" s="445"/>
      <c r="G120" s="445"/>
      <c r="H120" s="377"/>
      <c r="I120" s="377"/>
      <c r="J120" s="377"/>
      <c r="K120" s="377"/>
      <c r="L120" s="377"/>
      <c r="M120" s="377"/>
      <c r="N120" s="377"/>
      <c r="O120" s="377"/>
      <c r="P120" s="377"/>
      <c r="Q120" s="377"/>
      <c r="R120" s="377"/>
      <c r="S120" s="377"/>
      <c r="T120" s="377"/>
      <c r="U120" s="377"/>
      <c r="V120" s="377"/>
      <c r="W120" s="377"/>
      <c r="X120" s="377"/>
      <c r="Y120" s="377"/>
      <c r="Z120" s="377"/>
      <c r="AA120" s="377"/>
      <c r="AB120" s="377"/>
      <c r="AC120" s="377"/>
      <c r="AD120" s="377"/>
      <c r="AE120" s="377"/>
      <c r="AF120" s="377"/>
      <c r="AG120" s="377"/>
      <c r="AH120" s="377"/>
      <c r="AI120" s="377"/>
      <c r="AJ120" s="377"/>
      <c r="AK120" s="408"/>
      <c r="AL120" s="408"/>
      <c r="AM120" s="377"/>
      <c r="AN120" s="377"/>
      <c r="AO120" s="377"/>
      <c r="AP120" s="377"/>
      <c r="AQ120" s="408"/>
      <c r="AR120" s="377"/>
      <c r="AS120" s="377"/>
      <c r="AT120" s="377"/>
      <c r="AU120" s="377"/>
      <c r="AV120" s="377"/>
      <c r="AW120" s="254"/>
      <c r="AX120" s="254"/>
      <c r="AY120" s="254"/>
      <c r="AZ120" s="254"/>
      <c r="BA120" s="254"/>
      <c r="BB120" s="254"/>
      <c r="BC120" s="254"/>
      <c r="BD120" s="254"/>
      <c r="BE120" s="254"/>
      <c r="BF120" s="254"/>
      <c r="BG120" s="254"/>
      <c r="BH120" s="254"/>
      <c r="BI120" s="254"/>
      <c r="BJ120" s="254"/>
      <c r="BK120" s="254"/>
      <c r="BL120" s="254"/>
      <c r="BM120" s="254"/>
      <c r="BN120" s="254"/>
      <c r="BO120" s="254"/>
      <c r="BP120" s="254"/>
      <c r="BQ120" s="254"/>
      <c r="BR120" s="254"/>
      <c r="BS120" s="254"/>
      <c r="BT120" s="254"/>
      <c r="BU120" s="254"/>
    </row>
    <row r="121" spans="1:73" ht="38.1" customHeight="1">
      <c r="A121" s="519"/>
      <c r="B121" s="451" t="s">
        <v>37</v>
      </c>
      <c r="C121" s="481"/>
      <c r="D121" s="449"/>
      <c r="E121" s="451"/>
      <c r="F121" s="445"/>
      <c r="G121" s="445"/>
      <c r="H121" s="377"/>
      <c r="I121" s="377"/>
      <c r="J121" s="377"/>
      <c r="K121" s="377"/>
      <c r="L121" s="377"/>
      <c r="M121" s="377"/>
      <c r="N121" s="377"/>
      <c r="O121" s="377"/>
      <c r="P121" s="377"/>
      <c r="Q121" s="377"/>
      <c r="R121" s="377"/>
      <c r="S121" s="377"/>
      <c r="T121" s="377"/>
      <c r="U121" s="377"/>
      <c r="V121" s="377"/>
      <c r="W121" s="377"/>
      <c r="X121" s="377"/>
      <c r="Y121" s="377"/>
      <c r="Z121" s="377"/>
      <c r="AA121" s="377"/>
      <c r="AB121" s="377"/>
      <c r="AC121" s="377"/>
      <c r="AD121" s="377"/>
      <c r="AE121" s="377"/>
      <c r="AF121" s="377"/>
      <c r="AG121" s="377"/>
      <c r="AH121" s="377"/>
      <c r="AI121" s="377"/>
      <c r="AJ121" s="377"/>
      <c r="AK121" s="408"/>
      <c r="AL121" s="408"/>
      <c r="AM121" s="377"/>
      <c r="AN121" s="377"/>
      <c r="AO121" s="377"/>
      <c r="AP121" s="377"/>
      <c r="AQ121" s="408"/>
      <c r="AR121" s="377"/>
      <c r="AS121" s="377"/>
      <c r="AT121" s="377"/>
      <c r="AU121" s="377"/>
      <c r="AV121" s="377"/>
      <c r="AW121" s="254"/>
      <c r="AX121" s="254"/>
      <c r="AY121" s="254"/>
      <c r="AZ121" s="254"/>
      <c r="BA121" s="254"/>
      <c r="BB121" s="254"/>
      <c r="BC121" s="254"/>
      <c r="BD121" s="254"/>
      <c r="BE121" s="254"/>
      <c r="BF121" s="254"/>
      <c r="BG121" s="254"/>
      <c r="BH121" s="254"/>
      <c r="BI121" s="254"/>
      <c r="BJ121" s="254"/>
      <c r="BK121" s="254"/>
      <c r="BL121" s="254"/>
      <c r="BM121" s="254"/>
      <c r="BN121" s="254"/>
      <c r="BO121" s="254"/>
      <c r="BP121" s="254"/>
      <c r="BQ121" s="254"/>
      <c r="BR121" s="254"/>
      <c r="BS121" s="254"/>
      <c r="BT121" s="254"/>
      <c r="BU121" s="254"/>
    </row>
    <row r="122" spans="1:73" ht="38.1" customHeight="1">
      <c r="A122" s="519"/>
      <c r="B122" s="447" t="s">
        <v>40</v>
      </c>
      <c r="C122" s="462"/>
      <c r="D122" s="449"/>
      <c r="E122" s="451"/>
      <c r="F122" s="445"/>
      <c r="G122" s="445" t="s">
        <v>165</v>
      </c>
      <c r="H122" s="377"/>
      <c r="I122" s="377"/>
      <c r="J122" s="377"/>
      <c r="K122" s="377"/>
      <c r="L122" s="377"/>
      <c r="M122" s="377"/>
      <c r="N122" s="377"/>
      <c r="O122" s="377"/>
      <c r="P122" s="377"/>
      <c r="Q122" s="377"/>
      <c r="R122" s="377"/>
      <c r="S122" s="377"/>
      <c r="T122" s="377"/>
      <c r="U122" s="377"/>
      <c r="V122" s="377"/>
      <c r="W122" s="377"/>
      <c r="X122" s="377"/>
      <c r="Y122" s="377"/>
      <c r="Z122" s="377"/>
      <c r="AA122" s="377"/>
      <c r="AB122" s="377"/>
      <c r="AC122" s="377"/>
      <c r="AD122" s="377"/>
      <c r="AE122" s="377"/>
      <c r="AF122" s="377"/>
      <c r="AG122" s="377"/>
      <c r="AH122" s="377"/>
      <c r="AI122" s="377"/>
      <c r="AJ122" s="377"/>
      <c r="AK122" s="408"/>
      <c r="AL122" s="408"/>
      <c r="AM122" s="377"/>
      <c r="AN122" s="377"/>
      <c r="AO122" s="377"/>
      <c r="AP122" s="377"/>
      <c r="AQ122" s="408"/>
      <c r="AR122" s="377"/>
      <c r="AS122" s="377"/>
      <c r="AT122" s="377"/>
      <c r="AU122" s="377"/>
      <c r="AV122" s="377"/>
      <c r="AW122" s="254"/>
      <c r="AX122" s="254"/>
      <c r="AY122" s="254"/>
      <c r="AZ122" s="254"/>
      <c r="BA122" s="254"/>
      <c r="BB122" s="254"/>
      <c r="BC122" s="254"/>
      <c r="BD122" s="254"/>
      <c r="BE122" s="254"/>
      <c r="BF122" s="254"/>
      <c r="BG122" s="254"/>
      <c r="BH122" s="254"/>
      <c r="BI122" s="254"/>
      <c r="BJ122" s="254"/>
      <c r="BK122" s="254"/>
      <c r="BL122" s="254"/>
      <c r="BM122" s="254"/>
      <c r="BN122" s="254"/>
      <c r="BO122" s="254"/>
      <c r="BP122" s="254"/>
      <c r="BQ122" s="254"/>
      <c r="BR122" s="254"/>
      <c r="BS122" s="254"/>
      <c r="BT122" s="254"/>
      <c r="BU122" s="254"/>
    </row>
    <row r="123" spans="1:73" ht="38.1" customHeight="1">
      <c r="A123" s="519"/>
      <c r="B123" s="448" t="str">
        <f>A40</f>
        <v>Covell</v>
      </c>
      <c r="C123" s="475"/>
      <c r="D123" s="449"/>
      <c r="E123" s="451" t="s">
        <v>37</v>
      </c>
      <c r="F123" s="453"/>
      <c r="G123" s="445"/>
      <c r="H123" s="377"/>
      <c r="I123" s="377"/>
      <c r="J123" s="377"/>
      <c r="K123" s="377"/>
      <c r="L123" s="377"/>
      <c r="M123" s="377"/>
      <c r="N123" s="377"/>
      <c r="O123" s="377"/>
      <c r="P123" s="377"/>
      <c r="Q123" s="377"/>
      <c r="R123" s="377"/>
      <c r="S123" s="377"/>
      <c r="T123" s="377"/>
      <c r="U123" s="377"/>
      <c r="V123" s="377"/>
      <c r="W123" s="377"/>
      <c r="X123" s="377"/>
      <c r="Y123" s="377"/>
      <c r="Z123" s="377"/>
      <c r="AA123" s="377"/>
      <c r="AB123" s="377"/>
      <c r="AC123" s="377"/>
      <c r="AD123" s="377"/>
      <c r="AE123" s="377"/>
      <c r="AF123" s="377"/>
      <c r="AG123" s="377"/>
      <c r="AH123" s="377"/>
      <c r="AI123" s="377"/>
      <c r="AJ123" s="377"/>
      <c r="AK123" s="408"/>
      <c r="AL123" s="408"/>
      <c r="AM123" s="377"/>
      <c r="AN123" s="377"/>
      <c r="AO123" s="377"/>
      <c r="AP123" s="377"/>
      <c r="AQ123" s="408"/>
      <c r="AR123" s="377"/>
      <c r="AS123" s="377"/>
      <c r="AT123" s="377"/>
      <c r="AU123" s="377"/>
      <c r="AV123" s="377"/>
      <c r="AW123" s="254"/>
      <c r="AX123" s="254"/>
      <c r="AY123" s="254"/>
      <c r="AZ123" s="254"/>
      <c r="BA123" s="254"/>
      <c r="BB123" s="254"/>
      <c r="BC123" s="254"/>
      <c r="BD123" s="254"/>
      <c r="BE123" s="254"/>
      <c r="BF123" s="254"/>
      <c r="BG123" s="254"/>
      <c r="BH123" s="254"/>
      <c r="BI123" s="254"/>
      <c r="BJ123" s="254"/>
      <c r="BK123" s="254"/>
      <c r="BL123" s="254"/>
      <c r="BM123" s="254"/>
      <c r="BN123" s="254"/>
      <c r="BO123" s="254"/>
      <c r="BP123" s="254"/>
      <c r="BQ123" s="254"/>
      <c r="BR123" s="254"/>
      <c r="BS123" s="254"/>
      <c r="BT123" s="254"/>
      <c r="BU123" s="254"/>
    </row>
    <row r="124" spans="1:73" ht="38.1" customHeight="1">
      <c r="A124" s="519"/>
      <c r="B124" s="445" t="str">
        <f>A37</f>
        <v>Gardner</v>
      </c>
      <c r="C124" s="475"/>
      <c r="D124" s="449"/>
      <c r="E124" s="451"/>
      <c r="F124" s="458"/>
      <c r="G124" s="445" t="s">
        <v>166</v>
      </c>
      <c r="H124" s="377"/>
      <c r="I124" s="377"/>
      <c r="J124" s="377"/>
      <c r="K124" s="377"/>
      <c r="L124" s="377"/>
      <c r="M124" s="377"/>
      <c r="N124" s="377"/>
      <c r="O124" s="377"/>
      <c r="P124" s="377"/>
      <c r="Q124" s="377"/>
      <c r="R124" s="377"/>
      <c r="S124" s="377"/>
      <c r="T124" s="377"/>
      <c r="U124" s="377"/>
      <c r="V124" s="377"/>
      <c r="W124" s="377"/>
      <c r="X124" s="377"/>
      <c r="Y124" s="377"/>
      <c r="Z124" s="377"/>
      <c r="AA124" s="377"/>
      <c r="AB124" s="377"/>
      <c r="AC124" s="377"/>
      <c r="AD124" s="377"/>
      <c r="AE124" s="377"/>
      <c r="AF124" s="377"/>
      <c r="AG124" s="377"/>
      <c r="AH124" s="377"/>
      <c r="AI124" s="377"/>
      <c r="AJ124" s="377"/>
      <c r="AK124" s="408"/>
      <c r="AL124" s="408"/>
      <c r="AM124" s="377"/>
      <c r="AN124" s="377"/>
      <c r="AO124" s="377"/>
      <c r="AP124" s="377"/>
      <c r="AQ124" s="408"/>
      <c r="AR124" s="377"/>
      <c r="AS124" s="377"/>
      <c r="AT124" s="377"/>
      <c r="AU124" s="377"/>
      <c r="AV124" s="377"/>
      <c r="AW124" s="254"/>
      <c r="AX124" s="254"/>
      <c r="AY124" s="254"/>
      <c r="AZ124" s="254"/>
      <c r="BA124" s="254"/>
      <c r="BB124" s="254"/>
      <c r="BC124" s="254"/>
      <c r="BD124" s="254"/>
      <c r="BE124" s="254"/>
      <c r="BF124" s="254"/>
      <c r="BG124" s="254"/>
      <c r="BH124" s="254"/>
      <c r="BI124" s="254"/>
      <c r="BJ124" s="254"/>
      <c r="BK124" s="254"/>
      <c r="BL124" s="254"/>
      <c r="BM124" s="254"/>
      <c r="BN124" s="254"/>
      <c r="BO124" s="254"/>
      <c r="BP124" s="254"/>
      <c r="BQ124" s="254"/>
      <c r="BR124" s="254"/>
      <c r="BS124" s="254"/>
      <c r="BT124" s="254"/>
      <c r="BU124" s="254"/>
    </row>
    <row r="125" spans="1:73" ht="38.1" customHeight="1">
      <c r="A125" s="519"/>
      <c r="B125" s="446"/>
      <c r="C125" s="475"/>
      <c r="D125" s="449"/>
      <c r="E125" s="449"/>
      <c r="F125" s="454"/>
      <c r="G125" s="445"/>
      <c r="H125" s="377"/>
      <c r="I125" s="377"/>
      <c r="J125" s="377"/>
      <c r="K125" s="377"/>
      <c r="L125" s="377"/>
      <c r="M125" s="377"/>
      <c r="N125" s="377"/>
      <c r="O125" s="377"/>
      <c r="P125" s="377"/>
      <c r="Q125" s="377"/>
      <c r="R125" s="377"/>
      <c r="S125" s="377"/>
      <c r="T125" s="377"/>
      <c r="U125" s="377"/>
      <c r="V125" s="377"/>
      <c r="W125" s="377"/>
      <c r="X125" s="377"/>
      <c r="Y125" s="377"/>
      <c r="Z125" s="377"/>
      <c r="AA125" s="377"/>
      <c r="AB125" s="377"/>
      <c r="AC125" s="377"/>
      <c r="AD125" s="377"/>
      <c r="AE125" s="377"/>
      <c r="AF125" s="377"/>
      <c r="AG125" s="377"/>
      <c r="AH125" s="377"/>
      <c r="AI125" s="377"/>
      <c r="AJ125" s="377"/>
      <c r="AK125" s="408"/>
      <c r="AL125" s="408"/>
      <c r="AM125" s="377"/>
      <c r="AN125" s="377"/>
      <c r="AO125" s="377"/>
      <c r="AP125" s="377"/>
      <c r="AQ125" s="408"/>
      <c r="AR125" s="377"/>
      <c r="AS125" s="377"/>
      <c r="AT125" s="377"/>
      <c r="AU125" s="377"/>
      <c r="AV125" s="377"/>
      <c r="AW125" s="254"/>
      <c r="AX125" s="254"/>
      <c r="AY125" s="254"/>
      <c r="AZ125" s="254"/>
      <c r="BA125" s="254"/>
      <c r="BB125" s="254"/>
      <c r="BC125" s="254"/>
      <c r="BD125" s="254"/>
      <c r="BE125" s="254"/>
      <c r="BF125" s="254"/>
      <c r="BG125" s="254"/>
      <c r="BH125" s="254"/>
      <c r="BI125" s="254"/>
      <c r="BJ125" s="254"/>
      <c r="BK125" s="254"/>
      <c r="BL125" s="254"/>
      <c r="BM125" s="254"/>
      <c r="BN125" s="254"/>
      <c r="BO125" s="254"/>
      <c r="BP125" s="254"/>
      <c r="BQ125" s="254"/>
      <c r="BR125" s="254"/>
      <c r="BS125" s="254"/>
      <c r="BT125" s="254"/>
      <c r="BU125" s="254"/>
    </row>
    <row r="126" spans="1:73" ht="38.1" customHeight="1">
      <c r="A126" s="519"/>
      <c r="B126" s="451" t="s">
        <v>37</v>
      </c>
      <c r="C126" s="475"/>
      <c r="D126" s="449"/>
      <c r="E126" s="449"/>
      <c r="F126" s="454"/>
      <c r="G126" s="445"/>
      <c r="H126" s="377"/>
      <c r="I126" s="377"/>
      <c r="J126" s="377"/>
      <c r="K126" s="377"/>
      <c r="L126" s="377"/>
      <c r="M126" s="377"/>
      <c r="N126" s="377"/>
      <c r="O126" s="377"/>
      <c r="P126" s="377"/>
      <c r="Q126" s="377"/>
      <c r="R126" s="377"/>
      <c r="S126" s="377"/>
      <c r="T126" s="377"/>
      <c r="U126" s="377"/>
      <c r="V126" s="377"/>
      <c r="W126" s="377"/>
      <c r="X126" s="377"/>
      <c r="Y126" s="377"/>
      <c r="Z126" s="377"/>
      <c r="AA126" s="377"/>
      <c r="AB126" s="377"/>
      <c r="AC126" s="377"/>
      <c r="AD126" s="377"/>
      <c r="AE126" s="377"/>
      <c r="AF126" s="377"/>
      <c r="AG126" s="377"/>
      <c r="AH126" s="377"/>
      <c r="AI126" s="377"/>
      <c r="AJ126" s="377"/>
      <c r="AK126" s="408"/>
      <c r="AL126" s="408"/>
      <c r="AM126" s="377"/>
      <c r="AN126" s="377"/>
      <c r="AO126" s="377"/>
      <c r="AP126" s="377"/>
      <c r="AQ126" s="408"/>
      <c r="AR126" s="377"/>
      <c r="AS126" s="377"/>
      <c r="AT126" s="377"/>
      <c r="AU126" s="377"/>
      <c r="AV126" s="377"/>
      <c r="AW126" s="254"/>
      <c r="AX126" s="254"/>
      <c r="AY126" s="254"/>
      <c r="AZ126" s="254"/>
      <c r="BA126" s="254"/>
      <c r="BB126" s="254"/>
      <c r="BC126" s="254"/>
      <c r="BD126" s="254"/>
      <c r="BE126" s="254"/>
      <c r="BF126" s="254"/>
      <c r="BG126" s="254"/>
      <c r="BH126" s="254"/>
      <c r="BI126" s="254"/>
      <c r="BJ126" s="254"/>
      <c r="BK126" s="254"/>
      <c r="BL126" s="254"/>
      <c r="BM126" s="254"/>
      <c r="BN126" s="254"/>
      <c r="BO126" s="254"/>
      <c r="BP126" s="254"/>
      <c r="BQ126" s="254"/>
      <c r="BR126" s="254"/>
      <c r="BS126" s="254"/>
      <c r="BT126" s="254"/>
      <c r="BU126" s="254"/>
    </row>
    <row r="127" spans="1:73" ht="38.1" customHeight="1">
      <c r="A127" s="519"/>
      <c r="B127" s="447" t="s">
        <v>40</v>
      </c>
      <c r="C127" s="477"/>
      <c r="D127" s="455"/>
      <c r="E127" s="455"/>
      <c r="F127" s="454"/>
      <c r="G127" s="445"/>
      <c r="H127" s="377"/>
      <c r="I127" s="377"/>
      <c r="J127" s="377"/>
      <c r="K127" s="377"/>
      <c r="L127" s="377"/>
      <c r="M127" s="377"/>
      <c r="N127" s="377"/>
      <c r="O127" s="377"/>
      <c r="P127" s="377"/>
      <c r="Q127" s="377"/>
      <c r="R127" s="377"/>
      <c r="S127" s="377"/>
      <c r="T127" s="377"/>
      <c r="U127" s="377"/>
      <c r="V127" s="377"/>
      <c r="W127" s="377"/>
      <c r="X127" s="377"/>
      <c r="Y127" s="377"/>
      <c r="Z127" s="377"/>
      <c r="AA127" s="377"/>
      <c r="AB127" s="377"/>
      <c r="AC127" s="377"/>
      <c r="AD127" s="377"/>
      <c r="AE127" s="377"/>
      <c r="AF127" s="377"/>
      <c r="AG127" s="377"/>
      <c r="AH127" s="377"/>
      <c r="AI127" s="377"/>
      <c r="AJ127" s="377"/>
      <c r="AK127" s="408"/>
      <c r="AL127" s="408"/>
      <c r="AM127" s="377"/>
      <c r="AN127" s="377"/>
      <c r="AO127" s="377"/>
      <c r="AP127" s="377"/>
      <c r="AQ127" s="408"/>
      <c r="AR127" s="377"/>
      <c r="AS127" s="377"/>
      <c r="AT127" s="377"/>
      <c r="AU127" s="377"/>
      <c r="AV127" s="377"/>
      <c r="AW127" s="254"/>
      <c r="AX127" s="254"/>
      <c r="AY127" s="254"/>
      <c r="AZ127" s="254"/>
      <c r="BA127" s="254"/>
      <c r="BB127" s="254"/>
      <c r="BC127" s="254"/>
      <c r="BD127" s="254"/>
      <c r="BE127" s="254"/>
      <c r="BF127" s="254"/>
      <c r="BG127" s="254"/>
      <c r="BH127" s="254"/>
      <c r="BI127" s="254"/>
      <c r="BJ127" s="254"/>
      <c r="BK127" s="254"/>
      <c r="BL127" s="254"/>
      <c r="BM127" s="254"/>
      <c r="BN127" s="254"/>
      <c r="BO127" s="254"/>
      <c r="BP127" s="254"/>
      <c r="BQ127" s="254"/>
      <c r="BR127" s="254"/>
      <c r="BS127" s="254"/>
      <c r="BT127" s="254"/>
      <c r="BU127" s="254"/>
    </row>
    <row r="128" spans="1:73" ht="38.1" customHeight="1">
      <c r="A128" s="519"/>
      <c r="B128" s="448" t="str">
        <f>A42</f>
        <v>Wolterman</v>
      </c>
      <c r="C128" s="478" t="s">
        <v>37</v>
      </c>
      <c r="D128" s="449"/>
      <c r="E128" s="449"/>
      <c r="F128" s="449"/>
      <c r="G128" s="445"/>
      <c r="H128" s="377"/>
      <c r="I128" s="377"/>
      <c r="J128" s="377"/>
      <c r="K128" s="377"/>
      <c r="L128" s="377"/>
      <c r="M128" s="377"/>
      <c r="N128" s="377"/>
      <c r="O128" s="377"/>
      <c r="P128" s="377"/>
      <c r="Q128" s="377"/>
      <c r="R128" s="377"/>
      <c r="S128" s="377"/>
      <c r="T128" s="377"/>
      <c r="U128" s="377"/>
      <c r="V128" s="377"/>
      <c r="W128" s="377"/>
      <c r="X128" s="377"/>
      <c r="Y128" s="377"/>
      <c r="Z128" s="377"/>
      <c r="AA128" s="377"/>
      <c r="AB128" s="377"/>
      <c r="AC128" s="377"/>
      <c r="AD128" s="377"/>
      <c r="AE128" s="377"/>
      <c r="AF128" s="377"/>
      <c r="AG128" s="377"/>
      <c r="AH128" s="377"/>
      <c r="AI128" s="377"/>
      <c r="AJ128" s="377"/>
      <c r="AK128" s="408"/>
      <c r="AL128" s="408"/>
      <c r="AM128" s="377"/>
      <c r="AN128" s="377"/>
      <c r="AO128" s="377"/>
      <c r="AP128" s="377"/>
      <c r="AQ128" s="408"/>
      <c r="AR128" s="377"/>
      <c r="AS128" s="377"/>
      <c r="AT128" s="377"/>
      <c r="AU128" s="377"/>
      <c r="AV128" s="377"/>
      <c r="AW128" s="254"/>
      <c r="AX128" s="254"/>
      <c r="AY128" s="254"/>
      <c r="AZ128" s="254"/>
      <c r="BA128" s="254"/>
      <c r="BB128" s="254"/>
      <c r="BC128" s="254"/>
      <c r="BD128" s="254"/>
      <c r="BE128" s="254"/>
      <c r="BF128" s="254"/>
      <c r="BG128" s="254"/>
      <c r="BH128" s="254"/>
      <c r="BI128" s="254"/>
      <c r="BJ128" s="254"/>
      <c r="BK128" s="254"/>
      <c r="BL128" s="254"/>
      <c r="BM128" s="254"/>
      <c r="BN128" s="254"/>
      <c r="BO128" s="254"/>
      <c r="BP128" s="254"/>
      <c r="BQ128" s="254"/>
      <c r="BR128" s="254"/>
      <c r="BS128" s="254"/>
      <c r="BT128" s="254"/>
      <c r="BU128" s="254"/>
    </row>
    <row r="129" spans="1:73" ht="38.1" customHeight="1">
      <c r="A129" s="519"/>
      <c r="B129" s="445" t="str">
        <f>A38</f>
        <v>Wagner</v>
      </c>
      <c r="C129" s="479" t="s">
        <v>40</v>
      </c>
      <c r="D129" s="449"/>
      <c r="E129" s="449"/>
      <c r="F129" s="445"/>
      <c r="G129" s="445"/>
      <c r="H129" s="377"/>
      <c r="I129" s="377"/>
      <c r="J129" s="377"/>
      <c r="K129" s="377"/>
      <c r="L129" s="377"/>
      <c r="M129" s="377"/>
      <c r="N129" s="377"/>
      <c r="O129" s="377"/>
      <c r="P129" s="377"/>
      <c r="Q129" s="377"/>
      <c r="R129" s="377"/>
      <c r="S129" s="377"/>
      <c r="T129" s="377"/>
      <c r="U129" s="377"/>
      <c r="V129" s="377"/>
      <c r="W129" s="377"/>
      <c r="X129" s="377"/>
      <c r="Y129" s="377"/>
      <c r="Z129" s="377"/>
      <c r="AA129" s="377"/>
      <c r="AB129" s="377"/>
      <c r="AC129" s="377"/>
      <c r="AD129" s="377"/>
      <c r="AE129" s="377"/>
      <c r="AF129" s="377"/>
      <c r="AG129" s="377"/>
      <c r="AH129" s="377"/>
      <c r="AI129" s="377"/>
      <c r="AJ129" s="377"/>
      <c r="AK129" s="408"/>
      <c r="AL129" s="408"/>
      <c r="AM129" s="377"/>
      <c r="AN129" s="377"/>
      <c r="AO129" s="377"/>
      <c r="AP129" s="377"/>
      <c r="AQ129" s="408"/>
      <c r="AR129" s="377"/>
      <c r="AS129" s="377"/>
      <c r="AT129" s="377"/>
      <c r="AU129" s="377"/>
      <c r="AV129" s="377"/>
      <c r="AW129" s="254"/>
      <c r="AX129" s="254"/>
      <c r="AY129" s="254"/>
      <c r="AZ129" s="254"/>
      <c r="BA129" s="254"/>
      <c r="BB129" s="254"/>
      <c r="BC129" s="254"/>
      <c r="BD129" s="254"/>
      <c r="BE129" s="254"/>
      <c r="BF129" s="254"/>
      <c r="BG129" s="254"/>
      <c r="BH129" s="254"/>
      <c r="BI129" s="254"/>
      <c r="BJ129" s="254"/>
      <c r="BK129" s="254"/>
      <c r="BL129" s="254"/>
      <c r="BM129" s="254"/>
      <c r="BN129" s="254"/>
      <c r="BO129" s="254"/>
      <c r="BP129" s="254"/>
      <c r="BQ129" s="254"/>
      <c r="BR129" s="254"/>
      <c r="BS129" s="254"/>
      <c r="BT129" s="254"/>
      <c r="BU129" s="254"/>
    </row>
    <row r="130" spans="1:73" ht="38.1" customHeight="1">
      <c r="A130" s="519"/>
      <c r="B130" s="446"/>
      <c r="C130" s="478"/>
      <c r="D130" s="449"/>
      <c r="E130" s="449"/>
      <c r="F130" s="445"/>
      <c r="G130" s="445"/>
      <c r="H130" s="377"/>
      <c r="I130" s="377"/>
      <c r="J130" s="377"/>
      <c r="K130" s="377"/>
      <c r="L130" s="377"/>
      <c r="M130" s="377"/>
      <c r="N130" s="377"/>
      <c r="O130" s="377"/>
      <c r="P130" s="377"/>
      <c r="Q130" s="377"/>
      <c r="R130" s="377"/>
      <c r="S130" s="377"/>
      <c r="T130" s="377"/>
      <c r="U130" s="377"/>
      <c r="V130" s="377"/>
      <c r="W130" s="377"/>
      <c r="X130" s="377"/>
      <c r="Y130" s="377"/>
      <c r="Z130" s="377"/>
      <c r="AA130" s="377"/>
      <c r="AB130" s="377"/>
      <c r="AC130" s="377"/>
      <c r="AD130" s="377"/>
      <c r="AE130" s="377"/>
      <c r="AF130" s="377"/>
      <c r="AG130" s="377"/>
      <c r="AH130" s="377"/>
      <c r="AI130" s="377"/>
      <c r="AJ130" s="377"/>
      <c r="AK130" s="408"/>
      <c r="AL130" s="408"/>
      <c r="AM130" s="377"/>
      <c r="AN130" s="377"/>
      <c r="AO130" s="377"/>
      <c r="AP130" s="377"/>
      <c r="AQ130" s="408"/>
      <c r="AR130" s="377"/>
      <c r="AS130" s="377"/>
      <c r="AT130" s="377"/>
      <c r="AU130" s="377"/>
      <c r="AV130" s="377"/>
      <c r="AW130" s="254"/>
      <c r="AX130" s="254"/>
      <c r="AY130" s="254"/>
      <c r="AZ130" s="254"/>
      <c r="BA130" s="254"/>
      <c r="BB130" s="254"/>
      <c r="BC130" s="254"/>
      <c r="BD130" s="254"/>
      <c r="BE130" s="254"/>
      <c r="BF130" s="254"/>
      <c r="BG130" s="254"/>
      <c r="BH130" s="254"/>
      <c r="BI130" s="254"/>
      <c r="BJ130" s="254"/>
      <c r="BK130" s="254"/>
      <c r="BL130" s="254"/>
      <c r="BM130" s="254"/>
      <c r="BN130" s="254"/>
      <c r="BO130" s="254"/>
      <c r="BP130" s="254"/>
      <c r="BQ130" s="254"/>
      <c r="BR130" s="254"/>
      <c r="BS130" s="254"/>
      <c r="BT130" s="254"/>
      <c r="BU130" s="254"/>
    </row>
    <row r="131" spans="1:73" ht="38.1" customHeight="1">
      <c r="A131" s="519"/>
      <c r="B131" s="451" t="s">
        <v>37</v>
      </c>
      <c r="C131" s="481"/>
      <c r="D131" s="449"/>
      <c r="E131" s="449"/>
      <c r="F131" s="449"/>
      <c r="G131" s="449"/>
      <c r="H131" s="377"/>
      <c r="I131" s="377"/>
      <c r="J131" s="377"/>
      <c r="K131" s="377"/>
      <c r="L131" s="377"/>
      <c r="M131" s="377"/>
      <c r="N131" s="377"/>
      <c r="O131" s="377"/>
      <c r="P131" s="377"/>
      <c r="Q131" s="377"/>
      <c r="R131" s="377"/>
      <c r="S131" s="377"/>
      <c r="T131" s="377"/>
      <c r="U131" s="377"/>
      <c r="V131" s="377"/>
      <c r="W131" s="377"/>
      <c r="X131" s="377"/>
      <c r="Y131" s="377"/>
      <c r="Z131" s="377"/>
      <c r="AA131" s="377"/>
      <c r="AB131" s="377"/>
      <c r="AC131" s="377"/>
      <c r="AD131" s="377"/>
      <c r="AE131" s="377"/>
      <c r="AF131" s="377"/>
      <c r="AG131" s="377"/>
      <c r="AH131" s="377"/>
      <c r="AI131" s="377"/>
      <c r="AJ131" s="377"/>
      <c r="AK131" s="408"/>
      <c r="AL131" s="408"/>
      <c r="AM131" s="377"/>
      <c r="AN131" s="377"/>
      <c r="AO131" s="377"/>
      <c r="AP131" s="377"/>
      <c r="AQ131" s="408"/>
      <c r="AR131" s="377"/>
      <c r="AS131" s="377"/>
      <c r="AT131" s="377"/>
      <c r="AU131" s="377"/>
      <c r="AV131" s="377"/>
      <c r="AW131" s="254"/>
      <c r="AX131" s="254"/>
      <c r="AY131" s="254"/>
      <c r="AZ131" s="254"/>
      <c r="BA131" s="254"/>
      <c r="BB131" s="254"/>
      <c r="BC131" s="254"/>
      <c r="BD131" s="254"/>
      <c r="BE131" s="254"/>
      <c r="BF131" s="254"/>
      <c r="BG131" s="254"/>
      <c r="BH131" s="254"/>
      <c r="BI131" s="254"/>
      <c r="BJ131" s="254"/>
      <c r="BK131" s="254"/>
      <c r="BL131" s="254"/>
      <c r="BM131" s="254"/>
      <c r="BN131" s="254"/>
      <c r="BO131" s="254"/>
      <c r="BP131" s="254"/>
      <c r="BQ131" s="254"/>
      <c r="BR131" s="254"/>
      <c r="BS131" s="254"/>
      <c r="BT131" s="254"/>
      <c r="BU131" s="254"/>
    </row>
    <row r="132" spans="1:73" ht="38.1" customHeight="1">
      <c r="A132" s="519"/>
      <c r="B132" s="447" t="s">
        <v>40</v>
      </c>
      <c r="C132" s="475"/>
      <c r="D132" s="445"/>
      <c r="E132" s="449"/>
      <c r="F132" s="449"/>
      <c r="G132" s="449"/>
      <c r="H132" s="377"/>
      <c r="I132" s="377"/>
      <c r="J132" s="377"/>
      <c r="K132" s="377"/>
      <c r="L132" s="377"/>
      <c r="M132" s="377"/>
      <c r="N132" s="377"/>
      <c r="O132" s="377"/>
      <c r="P132" s="377"/>
      <c r="Q132" s="377"/>
      <c r="R132" s="377"/>
      <c r="S132" s="377"/>
      <c r="T132" s="377"/>
      <c r="U132" s="377"/>
      <c r="V132" s="377"/>
      <c r="W132" s="377"/>
      <c r="X132" s="377"/>
      <c r="Y132" s="377"/>
      <c r="Z132" s="377"/>
      <c r="AA132" s="377"/>
      <c r="AB132" s="377"/>
      <c r="AC132" s="377"/>
      <c r="AD132" s="377"/>
      <c r="AE132" s="377"/>
      <c r="AF132" s="377"/>
      <c r="AG132" s="377"/>
      <c r="AH132" s="377"/>
      <c r="AI132" s="377"/>
      <c r="AJ132" s="377"/>
      <c r="AK132" s="408"/>
      <c r="AL132" s="408"/>
      <c r="AM132" s="377"/>
      <c r="AN132" s="377"/>
      <c r="AO132" s="377"/>
      <c r="AP132" s="377"/>
      <c r="AQ132" s="408"/>
      <c r="AR132" s="377"/>
      <c r="AS132" s="377"/>
      <c r="AT132" s="377"/>
      <c r="AU132" s="377"/>
      <c r="AV132" s="377"/>
      <c r="AW132" s="254"/>
      <c r="AX132" s="254"/>
      <c r="AY132" s="254"/>
      <c r="AZ132" s="254"/>
      <c r="BA132" s="254"/>
      <c r="BB132" s="254"/>
      <c r="BC132" s="254"/>
      <c r="BD132" s="254"/>
      <c r="BE132" s="254"/>
      <c r="BF132" s="254"/>
      <c r="BG132" s="254"/>
      <c r="BH132" s="254"/>
      <c r="BI132" s="254"/>
      <c r="BJ132" s="254"/>
      <c r="BK132" s="254"/>
      <c r="BL132" s="254"/>
      <c r="BM132" s="254"/>
      <c r="BN132" s="254"/>
      <c r="BO132" s="254"/>
      <c r="BP132" s="254"/>
      <c r="BQ132" s="254"/>
      <c r="BR132" s="254"/>
      <c r="BS132" s="254"/>
      <c r="BT132" s="254"/>
      <c r="BU132" s="254"/>
    </row>
    <row r="133" spans="1:73" ht="38.1" customHeight="1">
      <c r="A133" s="519"/>
      <c r="B133" s="448" t="str">
        <f>A41</f>
        <v>Strueby</v>
      </c>
      <c r="C133" s="475"/>
      <c r="D133" s="445"/>
      <c r="E133" s="449"/>
      <c r="F133" s="449"/>
      <c r="G133" s="449"/>
      <c r="H133" s="377"/>
      <c r="I133" s="377"/>
      <c r="J133" s="377"/>
      <c r="K133" s="377"/>
      <c r="L133" s="377"/>
      <c r="M133" s="377"/>
      <c r="N133" s="377"/>
      <c r="O133" s="377"/>
      <c r="P133" s="377"/>
      <c r="Q133" s="377"/>
      <c r="R133" s="377"/>
      <c r="S133" s="377"/>
      <c r="T133" s="377"/>
      <c r="U133" s="377"/>
      <c r="V133" s="377"/>
      <c r="W133" s="377"/>
      <c r="X133" s="377"/>
      <c r="Y133" s="377"/>
      <c r="Z133" s="377"/>
      <c r="AA133" s="377"/>
      <c r="AB133" s="377"/>
      <c r="AC133" s="377"/>
      <c r="AD133" s="377"/>
      <c r="AE133" s="377"/>
      <c r="AF133" s="377"/>
      <c r="AG133" s="377"/>
      <c r="AH133" s="377"/>
      <c r="AI133" s="377"/>
      <c r="AJ133" s="377"/>
      <c r="AK133" s="408"/>
      <c r="AL133" s="408"/>
      <c r="AM133" s="377"/>
      <c r="AN133" s="377"/>
      <c r="AO133" s="377"/>
      <c r="AP133" s="377"/>
      <c r="AQ133" s="408"/>
      <c r="AR133" s="377"/>
      <c r="AS133" s="377"/>
      <c r="AT133" s="377"/>
      <c r="AU133" s="377"/>
      <c r="AV133" s="377"/>
      <c r="AW133" s="254"/>
      <c r="AX133" s="254"/>
      <c r="AY133" s="254"/>
      <c r="AZ133" s="254"/>
      <c r="BA133" s="254"/>
      <c r="BB133" s="254"/>
      <c r="BC133" s="254"/>
      <c r="BD133" s="254"/>
      <c r="BE133" s="254"/>
      <c r="BF133" s="254"/>
      <c r="BG133" s="254"/>
      <c r="BH133" s="254"/>
      <c r="BI133" s="254"/>
      <c r="BJ133" s="254"/>
      <c r="BK133" s="254"/>
      <c r="BL133" s="254"/>
      <c r="BM133" s="254"/>
      <c r="BN133" s="254"/>
      <c r="BO133" s="254"/>
      <c r="BP133" s="254"/>
      <c r="BQ133" s="254"/>
      <c r="BR133" s="254"/>
      <c r="BS133" s="254"/>
      <c r="BT133" s="254"/>
      <c r="BU133" s="254"/>
    </row>
    <row r="134" spans="1:73" ht="38.1" customHeight="1">
      <c r="A134" s="519"/>
      <c r="B134" s="449"/>
      <c r="C134" s="462"/>
      <c r="D134" s="449"/>
      <c r="E134" s="449"/>
      <c r="F134" s="449"/>
      <c r="G134" s="449"/>
      <c r="H134" s="377"/>
      <c r="I134" s="377"/>
      <c r="J134" s="377"/>
      <c r="K134" s="377"/>
      <c r="L134" s="377"/>
      <c r="M134" s="377"/>
      <c r="N134" s="377"/>
      <c r="O134" s="377"/>
      <c r="P134" s="377"/>
      <c r="Q134" s="377"/>
      <c r="R134" s="377"/>
      <c r="S134" s="377"/>
      <c r="T134" s="377"/>
      <c r="U134" s="377"/>
      <c r="V134" s="377"/>
      <c r="W134" s="377"/>
      <c r="X134" s="377"/>
      <c r="Y134" s="377"/>
      <c r="Z134" s="377"/>
      <c r="AA134" s="377"/>
      <c r="AB134" s="377"/>
      <c r="AC134" s="377"/>
      <c r="AD134" s="377"/>
      <c r="AE134" s="377"/>
      <c r="AF134" s="377"/>
      <c r="AG134" s="377"/>
      <c r="AH134" s="377"/>
      <c r="AI134" s="377"/>
      <c r="AJ134" s="377"/>
      <c r="AK134" s="408"/>
      <c r="AL134" s="408"/>
      <c r="AM134" s="377"/>
      <c r="AN134" s="377"/>
      <c r="AO134" s="377"/>
      <c r="AP134" s="377"/>
      <c r="AQ134" s="408"/>
      <c r="AR134" s="377"/>
      <c r="AS134" s="377"/>
      <c r="AT134" s="377"/>
      <c r="AU134" s="377"/>
      <c r="AV134" s="377"/>
      <c r="AW134" s="254"/>
      <c r="AX134" s="254"/>
      <c r="AY134" s="254"/>
      <c r="AZ134" s="254"/>
      <c r="BA134" s="254"/>
      <c r="BB134" s="254"/>
      <c r="BC134" s="254"/>
      <c r="BD134" s="254"/>
      <c r="BE134" s="254"/>
      <c r="BF134" s="254"/>
      <c r="BG134" s="254"/>
      <c r="BH134" s="254"/>
      <c r="BI134" s="254"/>
      <c r="BJ134" s="254"/>
      <c r="BK134" s="254"/>
      <c r="BL134" s="254"/>
      <c r="BM134" s="254"/>
      <c r="BN134" s="254"/>
      <c r="BO134" s="254"/>
      <c r="BP134" s="254"/>
      <c r="BQ134" s="254"/>
      <c r="BR134" s="254"/>
      <c r="BS134" s="254"/>
      <c r="BT134" s="254"/>
      <c r="BU134" s="254"/>
    </row>
    <row r="135" spans="1:73" ht="38.1" customHeight="1">
      <c r="A135" s="519"/>
      <c r="B135" s="445"/>
      <c r="C135" s="462"/>
      <c r="D135" s="449"/>
      <c r="E135" s="449"/>
      <c r="F135" s="449"/>
      <c r="G135" s="449"/>
      <c r="H135" s="377"/>
      <c r="I135" s="377"/>
      <c r="J135" s="377"/>
      <c r="K135" s="377"/>
      <c r="L135" s="377"/>
      <c r="M135" s="377"/>
      <c r="N135" s="377"/>
      <c r="O135" s="377"/>
      <c r="P135" s="377"/>
      <c r="Q135" s="377"/>
      <c r="R135" s="377"/>
      <c r="S135" s="377"/>
      <c r="T135" s="377"/>
      <c r="U135" s="377"/>
      <c r="V135" s="377"/>
      <c r="W135" s="377"/>
      <c r="X135" s="377"/>
      <c r="Y135" s="377"/>
      <c r="Z135" s="377"/>
      <c r="AA135" s="377"/>
      <c r="AB135" s="377"/>
      <c r="AC135" s="377"/>
      <c r="AD135" s="377"/>
      <c r="AE135" s="377"/>
      <c r="AF135" s="377"/>
      <c r="AG135" s="377"/>
      <c r="AH135" s="377"/>
      <c r="AI135" s="377"/>
      <c r="AJ135" s="377"/>
      <c r="AK135" s="408"/>
      <c r="AL135" s="408"/>
      <c r="AM135" s="377"/>
      <c r="AN135" s="377"/>
      <c r="AO135" s="377"/>
      <c r="AP135" s="377"/>
      <c r="AQ135" s="408"/>
      <c r="AR135" s="377"/>
      <c r="AS135" s="377"/>
      <c r="AT135" s="377"/>
      <c r="AU135" s="377"/>
      <c r="AV135" s="377"/>
      <c r="AW135" s="254"/>
      <c r="AX135" s="254"/>
      <c r="AY135" s="254"/>
      <c r="AZ135" s="254"/>
      <c r="BA135" s="254"/>
      <c r="BB135" s="254"/>
      <c r="BC135" s="254"/>
      <c r="BD135" s="254"/>
      <c r="BE135" s="254"/>
      <c r="BF135" s="254"/>
      <c r="BG135" s="254"/>
      <c r="BH135" s="254"/>
      <c r="BI135" s="254"/>
      <c r="BJ135" s="254"/>
      <c r="BK135" s="254"/>
      <c r="BL135" s="254"/>
      <c r="BM135" s="254"/>
      <c r="BN135" s="254"/>
      <c r="BO135" s="254"/>
      <c r="BP135" s="254"/>
      <c r="BQ135" s="254"/>
      <c r="BR135" s="254"/>
      <c r="BS135" s="254"/>
      <c r="BT135" s="254"/>
      <c r="BU135" s="254"/>
    </row>
    <row r="136" spans="1:73" ht="38.1" customHeight="1">
      <c r="A136" s="519"/>
      <c r="B136" s="445" t="str">
        <f>A44</f>
        <v>Behncke</v>
      </c>
      <c r="C136" s="491"/>
      <c r="D136" s="449"/>
      <c r="E136" s="449"/>
      <c r="F136" s="449"/>
      <c r="G136" s="449"/>
      <c r="H136" s="377"/>
      <c r="I136" s="377"/>
      <c r="J136" s="377"/>
      <c r="K136" s="377"/>
      <c r="L136" s="377"/>
      <c r="M136" s="377"/>
      <c r="N136" s="377"/>
      <c r="O136" s="377"/>
      <c r="P136" s="377"/>
      <c r="Q136" s="377"/>
      <c r="R136" s="377"/>
      <c r="S136" s="377"/>
      <c r="T136" s="377"/>
      <c r="U136" s="377"/>
      <c r="V136" s="377"/>
      <c r="W136" s="377"/>
      <c r="X136" s="377"/>
      <c r="Y136" s="377"/>
      <c r="Z136" s="377"/>
      <c r="AA136" s="377"/>
      <c r="AB136" s="377"/>
      <c r="AC136" s="377"/>
      <c r="AD136" s="377"/>
      <c r="AE136" s="377"/>
      <c r="AF136" s="377"/>
      <c r="AG136" s="377"/>
      <c r="AH136" s="377"/>
      <c r="AI136" s="377"/>
      <c r="AJ136" s="377"/>
      <c r="AK136" s="408"/>
      <c r="AL136" s="408"/>
      <c r="AM136" s="377"/>
      <c r="AN136" s="377"/>
      <c r="AO136" s="377"/>
      <c r="AP136" s="377"/>
      <c r="AQ136" s="408"/>
      <c r="AR136" s="377"/>
      <c r="AS136" s="377"/>
      <c r="AT136" s="377"/>
      <c r="AU136" s="377"/>
      <c r="AV136" s="377"/>
      <c r="AW136" s="254"/>
      <c r="AX136" s="254"/>
      <c r="AY136" s="254"/>
      <c r="AZ136" s="254"/>
      <c r="BA136" s="254"/>
      <c r="BB136" s="254"/>
      <c r="BC136" s="254"/>
      <c r="BD136" s="254"/>
      <c r="BE136" s="254"/>
      <c r="BF136" s="254"/>
      <c r="BG136" s="254"/>
      <c r="BH136" s="254"/>
      <c r="BI136" s="254"/>
      <c r="BJ136" s="254"/>
      <c r="BK136" s="254"/>
      <c r="BL136" s="254"/>
      <c r="BM136" s="254"/>
      <c r="BN136" s="254"/>
      <c r="BO136" s="254"/>
      <c r="BP136" s="254"/>
      <c r="BQ136" s="254"/>
      <c r="BR136" s="254"/>
      <c r="BS136" s="254"/>
      <c r="BT136" s="254"/>
      <c r="BU136" s="254"/>
    </row>
    <row r="137" spans="1:73" ht="38.1" customHeight="1">
      <c r="A137" s="519"/>
      <c r="B137" s="446"/>
      <c r="C137" s="462"/>
      <c r="D137" s="449"/>
      <c r="E137" s="449"/>
      <c r="F137" s="449"/>
      <c r="G137" s="449"/>
      <c r="H137" s="377"/>
      <c r="I137" s="377"/>
      <c r="J137" s="377"/>
      <c r="K137" s="377"/>
      <c r="L137" s="377"/>
      <c r="M137" s="377"/>
      <c r="N137" s="377"/>
      <c r="O137" s="377"/>
      <c r="P137" s="377"/>
      <c r="Q137" s="377"/>
      <c r="R137" s="377"/>
      <c r="S137" s="377"/>
      <c r="T137" s="377"/>
      <c r="U137" s="377"/>
      <c r="V137" s="377"/>
      <c r="W137" s="377"/>
      <c r="X137" s="377"/>
      <c r="Y137" s="377"/>
      <c r="Z137" s="377"/>
      <c r="AA137" s="377"/>
      <c r="AB137" s="377"/>
      <c r="AC137" s="377"/>
      <c r="AD137" s="377"/>
      <c r="AE137" s="377"/>
      <c r="AF137" s="377"/>
      <c r="AG137" s="377"/>
      <c r="AH137" s="377"/>
      <c r="AI137" s="377"/>
      <c r="AJ137" s="377"/>
      <c r="AK137" s="408"/>
      <c r="AL137" s="408"/>
      <c r="AM137" s="377"/>
      <c r="AN137" s="377"/>
      <c r="AO137" s="377"/>
      <c r="AP137" s="377"/>
      <c r="AQ137" s="408"/>
      <c r="AR137" s="377"/>
      <c r="AS137" s="377"/>
      <c r="AT137" s="377"/>
      <c r="AU137" s="377"/>
      <c r="AV137" s="377"/>
      <c r="AW137" s="254"/>
      <c r="AX137" s="254"/>
      <c r="AY137" s="254"/>
      <c r="AZ137" s="254"/>
      <c r="BA137" s="254"/>
      <c r="BB137" s="254"/>
      <c r="BC137" s="254"/>
      <c r="BD137" s="254"/>
      <c r="BE137" s="254"/>
      <c r="BF137" s="254"/>
      <c r="BG137" s="254"/>
      <c r="BH137" s="254"/>
      <c r="BI137" s="254"/>
      <c r="BJ137" s="254"/>
      <c r="BK137" s="254"/>
      <c r="BL137" s="254"/>
      <c r="BM137" s="254"/>
      <c r="BN137" s="254"/>
      <c r="BO137" s="254"/>
      <c r="BP137" s="254"/>
      <c r="BQ137" s="254"/>
      <c r="BR137" s="254"/>
      <c r="BS137" s="254"/>
      <c r="BT137" s="254"/>
      <c r="BU137" s="254"/>
    </row>
    <row r="138" spans="1:73" ht="38.1" customHeight="1">
      <c r="A138" s="519"/>
      <c r="B138" s="451"/>
      <c r="C138" s="462"/>
      <c r="D138" s="449"/>
      <c r="E138" s="449"/>
      <c r="F138" s="449"/>
      <c r="G138" s="449"/>
      <c r="H138" s="377"/>
      <c r="I138" s="377"/>
      <c r="J138" s="377"/>
      <c r="K138" s="377"/>
      <c r="L138" s="377"/>
      <c r="M138" s="377"/>
      <c r="N138" s="377"/>
      <c r="O138" s="377"/>
      <c r="P138" s="377"/>
      <c r="Q138" s="377"/>
      <c r="R138" s="377"/>
      <c r="S138" s="377"/>
      <c r="T138" s="377"/>
      <c r="U138" s="377"/>
      <c r="V138" s="377"/>
      <c r="W138" s="377"/>
      <c r="X138" s="377"/>
      <c r="Y138" s="377"/>
      <c r="Z138" s="377"/>
      <c r="AA138" s="377"/>
      <c r="AB138" s="377"/>
      <c r="AC138" s="377"/>
      <c r="AD138" s="377"/>
      <c r="AE138" s="377"/>
      <c r="AF138" s="377"/>
      <c r="AG138" s="377"/>
      <c r="AH138" s="377"/>
      <c r="AI138" s="377"/>
      <c r="AJ138" s="377"/>
      <c r="AK138" s="408"/>
      <c r="AL138" s="408"/>
      <c r="AM138" s="377"/>
      <c r="AN138" s="377"/>
      <c r="AO138" s="377"/>
      <c r="AP138" s="377"/>
      <c r="AQ138" s="408"/>
      <c r="AR138" s="377"/>
      <c r="AS138" s="377"/>
      <c r="AT138" s="377"/>
      <c r="AU138" s="377"/>
      <c r="AV138" s="377"/>
      <c r="AW138" s="254"/>
      <c r="AX138" s="254"/>
      <c r="AY138" s="254"/>
      <c r="AZ138" s="254"/>
      <c r="BA138" s="254"/>
      <c r="BB138" s="254"/>
      <c r="BC138" s="254"/>
      <c r="BD138" s="254"/>
      <c r="BE138" s="254"/>
      <c r="BF138" s="254"/>
      <c r="BG138" s="254"/>
      <c r="BH138" s="254"/>
      <c r="BI138" s="254"/>
      <c r="BJ138" s="254"/>
      <c r="BK138" s="254"/>
      <c r="BL138" s="254"/>
      <c r="BM138" s="254"/>
      <c r="BN138" s="254"/>
      <c r="BO138" s="254"/>
      <c r="BP138" s="254"/>
      <c r="BQ138" s="254"/>
      <c r="BR138" s="254"/>
      <c r="BS138" s="254"/>
      <c r="BT138" s="254"/>
      <c r="BU138" s="254"/>
    </row>
    <row r="139" spans="1:73" ht="38.1" customHeight="1">
      <c r="A139" s="519"/>
      <c r="B139" s="451"/>
      <c r="C139" s="492"/>
      <c r="D139" s="449"/>
      <c r="E139" s="449"/>
      <c r="F139" s="449"/>
      <c r="G139" s="449"/>
      <c r="H139" s="377"/>
      <c r="I139" s="377"/>
      <c r="J139" s="377"/>
      <c r="K139" s="377"/>
      <c r="L139" s="377"/>
      <c r="M139" s="377"/>
      <c r="N139" s="377"/>
      <c r="O139" s="377"/>
      <c r="P139" s="377"/>
      <c r="Q139" s="377"/>
      <c r="R139" s="377"/>
      <c r="S139" s="377"/>
      <c r="T139" s="377"/>
      <c r="U139" s="377"/>
      <c r="V139" s="377"/>
      <c r="W139" s="377"/>
      <c r="X139" s="377"/>
      <c r="Y139" s="377"/>
      <c r="Z139" s="377"/>
      <c r="AA139" s="377"/>
      <c r="AB139" s="377"/>
      <c r="AC139" s="377"/>
      <c r="AD139" s="377"/>
      <c r="AE139" s="377"/>
      <c r="AF139" s="377"/>
      <c r="AG139" s="377"/>
      <c r="AH139" s="377"/>
      <c r="AI139" s="377"/>
      <c r="AJ139" s="377"/>
      <c r="AK139" s="408"/>
      <c r="AL139" s="408"/>
      <c r="AM139" s="377"/>
      <c r="AN139" s="377"/>
      <c r="AO139" s="377"/>
      <c r="AP139" s="377"/>
      <c r="AQ139" s="408"/>
      <c r="AR139" s="377"/>
      <c r="AS139" s="377"/>
      <c r="AT139" s="377"/>
      <c r="AU139" s="377"/>
      <c r="AV139" s="377"/>
      <c r="AW139" s="254"/>
      <c r="AX139" s="254"/>
      <c r="AY139" s="254"/>
      <c r="AZ139" s="254"/>
      <c r="BA139" s="254"/>
      <c r="BB139" s="254"/>
      <c r="BC139" s="254"/>
      <c r="BD139" s="254"/>
      <c r="BE139" s="254"/>
      <c r="BF139" s="254"/>
      <c r="BG139" s="254"/>
      <c r="BH139" s="254"/>
      <c r="BI139" s="254"/>
      <c r="BJ139" s="254"/>
      <c r="BK139" s="254"/>
      <c r="BL139" s="254"/>
      <c r="BM139" s="254"/>
      <c r="BN139" s="254"/>
      <c r="BO139" s="254"/>
      <c r="BP139" s="254"/>
      <c r="BQ139" s="254"/>
      <c r="BR139" s="254"/>
      <c r="BS139" s="254"/>
      <c r="BT139" s="254"/>
      <c r="BU139" s="254"/>
    </row>
    <row r="140" spans="1:73" ht="38.1" customHeight="1">
      <c r="A140" s="519"/>
      <c r="B140" s="448" t="str">
        <f>A51</f>
        <v>Filipiak</v>
      </c>
      <c r="C140" s="480"/>
      <c r="D140" s="449"/>
      <c r="E140" s="449"/>
      <c r="F140" s="449"/>
      <c r="G140" s="449"/>
      <c r="H140" s="377"/>
      <c r="I140" s="377"/>
      <c r="J140" s="377"/>
      <c r="K140" s="377"/>
      <c r="L140" s="377"/>
      <c r="M140" s="377"/>
      <c r="N140" s="377"/>
      <c r="O140" s="377"/>
      <c r="P140" s="377"/>
      <c r="Q140" s="377"/>
      <c r="R140" s="377"/>
      <c r="S140" s="377"/>
      <c r="T140" s="377"/>
      <c r="U140" s="377"/>
      <c r="V140" s="377"/>
      <c r="W140" s="377"/>
      <c r="X140" s="377"/>
      <c r="Y140" s="377"/>
      <c r="Z140" s="377"/>
      <c r="AA140" s="377"/>
      <c r="AB140" s="377"/>
      <c r="AC140" s="377"/>
      <c r="AD140" s="377"/>
      <c r="AE140" s="377"/>
      <c r="AF140" s="377"/>
      <c r="AG140" s="377"/>
      <c r="AH140" s="377"/>
      <c r="AI140" s="377"/>
      <c r="AJ140" s="377"/>
      <c r="AK140" s="408"/>
      <c r="AL140" s="408"/>
      <c r="AM140" s="377"/>
      <c r="AN140" s="377"/>
      <c r="AO140" s="377"/>
      <c r="AP140" s="377"/>
      <c r="AQ140" s="408"/>
      <c r="AR140" s="377"/>
      <c r="AS140" s="377"/>
      <c r="AT140" s="377"/>
      <c r="AU140" s="377"/>
      <c r="AV140" s="377"/>
      <c r="AW140" s="254"/>
      <c r="AX140" s="254"/>
      <c r="AY140" s="254"/>
      <c r="AZ140" s="254"/>
      <c r="BA140" s="254"/>
      <c r="BB140" s="254"/>
      <c r="BC140" s="254"/>
      <c r="BD140" s="254"/>
      <c r="BE140" s="254"/>
      <c r="BF140" s="254"/>
      <c r="BG140" s="254"/>
      <c r="BH140" s="254"/>
      <c r="BI140" s="254"/>
      <c r="BJ140" s="254"/>
      <c r="BK140" s="254"/>
      <c r="BL140" s="254"/>
      <c r="BM140" s="254"/>
      <c r="BN140" s="254"/>
      <c r="BO140" s="254"/>
      <c r="BP140" s="254"/>
      <c r="BQ140" s="254"/>
      <c r="BR140" s="254"/>
      <c r="BS140" s="254"/>
      <c r="BT140" s="254"/>
      <c r="BU140" s="254"/>
    </row>
    <row r="141" spans="1:73" ht="38.1" customHeight="1">
      <c r="A141" s="519"/>
      <c r="B141" s="445" t="str">
        <f>A47</f>
        <v>Foxhall</v>
      </c>
      <c r="C141" s="479" t="s">
        <v>40</v>
      </c>
      <c r="D141" s="450"/>
      <c r="E141" s="446"/>
      <c r="F141" s="445"/>
      <c r="G141" s="462"/>
      <c r="H141" s="377"/>
      <c r="I141" s="377"/>
      <c r="J141" s="377"/>
      <c r="K141" s="377"/>
      <c r="L141" s="377"/>
      <c r="M141" s="377"/>
      <c r="N141" s="377"/>
      <c r="O141" s="377"/>
      <c r="P141" s="377"/>
      <c r="Q141" s="377"/>
      <c r="R141" s="377"/>
      <c r="S141" s="377"/>
      <c r="T141" s="377"/>
      <c r="U141" s="377"/>
      <c r="V141" s="377"/>
      <c r="W141" s="377"/>
      <c r="X141" s="377"/>
      <c r="Y141" s="377"/>
      <c r="Z141" s="377"/>
      <c r="AA141" s="377"/>
      <c r="AB141" s="377"/>
      <c r="AC141" s="377"/>
      <c r="AD141" s="377"/>
      <c r="AE141" s="377"/>
      <c r="AF141" s="377"/>
      <c r="AG141" s="377"/>
      <c r="AH141" s="377"/>
      <c r="AI141" s="377"/>
      <c r="AJ141" s="377"/>
      <c r="AK141" s="408"/>
      <c r="AL141" s="408"/>
      <c r="AM141" s="377"/>
      <c r="AN141" s="377"/>
      <c r="AO141" s="377"/>
      <c r="AP141" s="377"/>
      <c r="AQ141" s="408"/>
      <c r="AR141" s="377"/>
      <c r="AS141" s="377"/>
      <c r="AT141" s="377"/>
      <c r="AU141" s="377"/>
      <c r="AV141" s="377"/>
      <c r="AW141" s="254"/>
      <c r="AX141" s="254"/>
      <c r="AY141" s="254"/>
      <c r="AZ141" s="254"/>
      <c r="BA141" s="254"/>
      <c r="BB141" s="254"/>
      <c r="BC141" s="254"/>
      <c r="BD141" s="254"/>
      <c r="BE141" s="254"/>
      <c r="BF141" s="254"/>
      <c r="BG141" s="254"/>
      <c r="BH141" s="254"/>
      <c r="BI141" s="254"/>
      <c r="BJ141" s="254"/>
      <c r="BK141" s="254"/>
      <c r="BL141" s="254"/>
      <c r="BM141" s="254"/>
      <c r="BN141" s="254"/>
      <c r="BO141" s="254"/>
      <c r="BP141" s="254"/>
      <c r="BQ141" s="254"/>
      <c r="BR141" s="254"/>
      <c r="BS141" s="254"/>
      <c r="BT141" s="254"/>
      <c r="BU141" s="254"/>
    </row>
    <row r="142" spans="1:73" ht="38.1" customHeight="1">
      <c r="A142" s="519"/>
      <c r="B142" s="450"/>
      <c r="C142" s="480"/>
      <c r="D142" s="449"/>
      <c r="E142" s="451"/>
      <c r="F142" s="445"/>
      <c r="G142" s="462"/>
      <c r="H142" s="377"/>
      <c r="I142" s="377"/>
      <c r="J142" s="377"/>
      <c r="K142" s="377"/>
      <c r="L142" s="377"/>
      <c r="M142" s="377"/>
      <c r="N142" s="377"/>
      <c r="O142" s="377"/>
      <c r="P142" s="377"/>
      <c r="Q142" s="377"/>
      <c r="R142" s="377"/>
      <c r="S142" s="377"/>
      <c r="T142" s="377"/>
      <c r="U142" s="377"/>
      <c r="V142" s="377"/>
      <c r="W142" s="377"/>
      <c r="X142" s="377"/>
      <c r="Y142" s="377"/>
      <c r="Z142" s="377"/>
      <c r="AA142" s="377"/>
      <c r="AB142" s="377"/>
      <c r="AC142" s="377"/>
      <c r="AD142" s="377"/>
      <c r="AE142" s="377"/>
      <c r="AF142" s="377"/>
      <c r="AG142" s="377"/>
      <c r="AH142" s="377"/>
      <c r="AI142" s="377"/>
      <c r="AJ142" s="377"/>
      <c r="AK142" s="408"/>
      <c r="AL142" s="408"/>
      <c r="AM142" s="377"/>
      <c r="AN142" s="377"/>
      <c r="AO142" s="377"/>
      <c r="AP142" s="377"/>
      <c r="AQ142" s="408"/>
      <c r="AR142" s="377"/>
      <c r="AS142" s="377"/>
      <c r="AT142" s="377"/>
      <c r="AU142" s="377"/>
      <c r="AV142" s="377"/>
      <c r="AW142" s="254"/>
      <c r="AX142" s="254"/>
      <c r="AY142" s="254"/>
      <c r="AZ142" s="254"/>
      <c r="BA142" s="254"/>
      <c r="BB142" s="254"/>
      <c r="BC142" s="254"/>
      <c r="BD142" s="254"/>
      <c r="BE142" s="254"/>
      <c r="BF142" s="254"/>
      <c r="BG142" s="254"/>
      <c r="BH142" s="254"/>
      <c r="BI142" s="254"/>
      <c r="BJ142" s="254"/>
      <c r="BK142" s="254"/>
      <c r="BL142" s="254"/>
      <c r="BM142" s="254"/>
      <c r="BN142" s="254"/>
      <c r="BO142" s="254"/>
      <c r="BP142" s="254"/>
      <c r="BQ142" s="254"/>
      <c r="BR142" s="254"/>
      <c r="BS142" s="254"/>
      <c r="BT142" s="254"/>
      <c r="BU142" s="254"/>
    </row>
    <row r="143" spans="1:73" ht="38.1" customHeight="1">
      <c r="A143" s="519"/>
      <c r="B143" s="451" t="s">
        <v>37</v>
      </c>
      <c r="C143" s="481"/>
      <c r="D143" s="449"/>
      <c r="E143" s="451"/>
      <c r="F143" s="445"/>
      <c r="G143" s="462"/>
      <c r="H143" s="377"/>
      <c r="I143" s="377"/>
      <c r="J143" s="377"/>
      <c r="K143" s="377"/>
      <c r="L143" s="377"/>
      <c r="M143" s="377"/>
      <c r="N143" s="377"/>
      <c r="O143" s="377"/>
      <c r="P143" s="377"/>
      <c r="Q143" s="377"/>
      <c r="R143" s="377"/>
      <c r="S143" s="377"/>
      <c r="T143" s="377"/>
      <c r="U143" s="377"/>
      <c r="V143" s="377"/>
      <c r="W143" s="377"/>
      <c r="X143" s="377"/>
      <c r="Y143" s="377"/>
      <c r="Z143" s="377"/>
      <c r="AA143" s="377"/>
      <c r="AB143" s="377"/>
      <c r="AC143" s="377"/>
      <c r="AD143" s="377"/>
      <c r="AE143" s="377"/>
      <c r="AF143" s="377"/>
      <c r="AG143" s="377"/>
      <c r="AH143" s="377"/>
      <c r="AI143" s="377"/>
      <c r="AJ143" s="377"/>
      <c r="AK143" s="408"/>
      <c r="AL143" s="408"/>
      <c r="AM143" s="377"/>
      <c r="AN143" s="377"/>
      <c r="AO143" s="377"/>
      <c r="AP143" s="377"/>
      <c r="AQ143" s="408"/>
      <c r="AR143" s="377"/>
      <c r="AS143" s="377"/>
      <c r="AT143" s="377"/>
      <c r="AU143" s="377"/>
      <c r="AV143" s="377"/>
      <c r="AW143" s="254"/>
      <c r="AX143" s="254"/>
      <c r="AY143" s="254"/>
      <c r="AZ143" s="254"/>
      <c r="BA143" s="254"/>
      <c r="BB143" s="254"/>
      <c r="BC143" s="254"/>
      <c r="BD143" s="254"/>
      <c r="BE143" s="254"/>
      <c r="BF143" s="254"/>
      <c r="BG143" s="254"/>
      <c r="BH143" s="254"/>
      <c r="BI143" s="254"/>
      <c r="BJ143" s="254"/>
      <c r="BK143" s="254"/>
      <c r="BL143" s="254"/>
      <c r="BM143" s="254"/>
      <c r="BN143" s="254"/>
      <c r="BO143" s="254"/>
      <c r="BP143" s="254"/>
      <c r="BQ143" s="254"/>
      <c r="BR143" s="254"/>
      <c r="BS143" s="254"/>
      <c r="BT143" s="254"/>
      <c r="BU143" s="254"/>
    </row>
    <row r="144" spans="1:73" ht="38.1" customHeight="1">
      <c r="A144" s="519"/>
      <c r="B144" s="447" t="s">
        <v>40</v>
      </c>
      <c r="C144" s="462"/>
      <c r="D144" s="449"/>
      <c r="E144" s="451"/>
      <c r="F144" s="444"/>
      <c r="G144" s="462" t="s">
        <v>118</v>
      </c>
      <c r="H144" s="377"/>
      <c r="I144" s="377"/>
      <c r="J144" s="377"/>
      <c r="K144" s="377"/>
      <c r="L144" s="377"/>
      <c r="M144" s="377"/>
      <c r="N144" s="377"/>
      <c r="O144" s="377"/>
      <c r="P144" s="377"/>
      <c r="Q144" s="377"/>
      <c r="R144" s="377"/>
      <c r="S144" s="377"/>
      <c r="T144" s="377"/>
      <c r="U144" s="377"/>
      <c r="V144" s="377"/>
      <c r="W144" s="377"/>
      <c r="X144" s="377"/>
      <c r="Y144" s="377"/>
      <c r="Z144" s="377"/>
      <c r="AA144" s="377"/>
      <c r="AB144" s="377"/>
      <c r="AC144" s="377"/>
      <c r="AD144" s="377"/>
      <c r="AE144" s="377"/>
      <c r="AF144" s="377"/>
      <c r="AG144" s="377"/>
      <c r="AH144" s="377"/>
      <c r="AI144" s="377"/>
      <c r="AJ144" s="377"/>
      <c r="AK144" s="408"/>
      <c r="AL144" s="408"/>
      <c r="AM144" s="377"/>
      <c r="AN144" s="377"/>
      <c r="AO144" s="377"/>
      <c r="AP144" s="377"/>
      <c r="AQ144" s="408"/>
      <c r="AR144" s="377"/>
      <c r="AS144" s="377"/>
      <c r="AT144" s="377"/>
      <c r="AU144" s="377"/>
      <c r="AV144" s="377"/>
      <c r="AW144" s="254"/>
      <c r="AX144" s="254"/>
      <c r="AY144" s="254"/>
      <c r="AZ144" s="254"/>
      <c r="BA144" s="254"/>
      <c r="BB144" s="254"/>
      <c r="BC144" s="254"/>
      <c r="BD144" s="254"/>
      <c r="BE144" s="254"/>
      <c r="BF144" s="254"/>
      <c r="BG144" s="254"/>
      <c r="BH144" s="254"/>
      <c r="BI144" s="254"/>
      <c r="BJ144" s="254"/>
      <c r="BK144" s="254"/>
      <c r="BL144" s="254"/>
      <c r="BM144" s="254"/>
      <c r="BN144" s="254"/>
      <c r="BO144" s="254"/>
      <c r="BP144" s="254"/>
      <c r="BQ144" s="254"/>
      <c r="BR144" s="254"/>
      <c r="BS144" s="254"/>
      <c r="BT144" s="254"/>
      <c r="BU144" s="254"/>
    </row>
    <row r="145" spans="1:73" ht="38.1" customHeight="1">
      <c r="A145" s="519"/>
      <c r="B145" s="448" t="str">
        <f>A48</f>
        <v>Douglas</v>
      </c>
      <c r="C145" s="475"/>
      <c r="D145" s="449"/>
      <c r="E145" s="451" t="s">
        <v>37</v>
      </c>
      <c r="F145" s="460"/>
      <c r="G145" s="462"/>
      <c r="H145" s="377"/>
      <c r="I145" s="377"/>
      <c r="J145" s="377"/>
      <c r="K145" s="377"/>
      <c r="L145" s="377"/>
      <c r="M145" s="377"/>
      <c r="N145" s="377"/>
      <c r="O145" s="377"/>
      <c r="P145" s="377"/>
      <c r="Q145" s="377"/>
      <c r="R145" s="377"/>
      <c r="S145" s="377"/>
      <c r="T145" s="377"/>
      <c r="U145" s="377"/>
      <c r="V145" s="377"/>
      <c r="W145" s="377"/>
      <c r="X145" s="377"/>
      <c r="Y145" s="377"/>
      <c r="Z145" s="377"/>
      <c r="AA145" s="377"/>
      <c r="AB145" s="377"/>
      <c r="AC145" s="377"/>
      <c r="AD145" s="377"/>
      <c r="AE145" s="377"/>
      <c r="AF145" s="377"/>
      <c r="AG145" s="377"/>
      <c r="AH145" s="377"/>
      <c r="AI145" s="377"/>
      <c r="AJ145" s="377"/>
      <c r="AK145" s="408"/>
      <c r="AL145" s="408"/>
      <c r="AM145" s="377"/>
      <c r="AN145" s="377"/>
      <c r="AO145" s="377"/>
      <c r="AP145" s="377"/>
      <c r="AQ145" s="408"/>
      <c r="AR145" s="377"/>
      <c r="AS145" s="377"/>
      <c r="AT145" s="377"/>
      <c r="AU145" s="377"/>
      <c r="AV145" s="377"/>
      <c r="AW145" s="254"/>
      <c r="AX145" s="254"/>
      <c r="AY145" s="254"/>
      <c r="AZ145" s="254"/>
      <c r="BA145" s="254"/>
      <c r="BB145" s="254"/>
      <c r="BC145" s="254"/>
      <c r="BD145" s="254"/>
      <c r="BE145" s="254"/>
      <c r="BF145" s="254"/>
      <c r="BG145" s="254"/>
      <c r="BH145" s="254"/>
      <c r="BI145" s="254"/>
      <c r="BJ145" s="254"/>
      <c r="BK145" s="254"/>
      <c r="BL145" s="254"/>
      <c r="BM145" s="254"/>
      <c r="BN145" s="254"/>
      <c r="BO145" s="254"/>
      <c r="BP145" s="254"/>
      <c r="BQ145" s="254"/>
      <c r="BR145" s="254"/>
      <c r="BS145" s="254"/>
      <c r="BT145" s="254"/>
      <c r="BU145" s="254"/>
    </row>
    <row r="146" spans="1:73" ht="38.1" customHeight="1">
      <c r="A146" s="519"/>
      <c r="B146" s="445" t="str">
        <f>A45</f>
        <v>Llewellyn</v>
      </c>
      <c r="C146" s="475"/>
      <c r="D146" s="449"/>
      <c r="E146" s="451"/>
      <c r="F146" s="461"/>
      <c r="G146" s="462" t="s">
        <v>119</v>
      </c>
      <c r="H146" s="377"/>
      <c r="I146" s="377"/>
      <c r="J146" s="377"/>
      <c r="K146" s="377"/>
      <c r="L146" s="377"/>
      <c r="M146" s="377"/>
      <c r="N146" s="377"/>
      <c r="O146" s="377"/>
      <c r="P146" s="377"/>
      <c r="Q146" s="377"/>
      <c r="R146" s="377"/>
      <c r="S146" s="377"/>
      <c r="T146" s="377"/>
      <c r="U146" s="377"/>
      <c r="V146" s="377"/>
      <c r="W146" s="377"/>
      <c r="X146" s="377"/>
      <c r="Y146" s="377"/>
      <c r="Z146" s="377"/>
      <c r="AA146" s="377"/>
      <c r="AB146" s="377"/>
      <c r="AC146" s="377"/>
      <c r="AD146" s="377"/>
      <c r="AE146" s="377"/>
      <c r="AF146" s="377"/>
      <c r="AG146" s="377"/>
      <c r="AH146" s="377"/>
      <c r="AI146" s="377"/>
      <c r="AJ146" s="377"/>
      <c r="AK146" s="408"/>
      <c r="AL146" s="408"/>
      <c r="AM146" s="377"/>
      <c r="AN146" s="377"/>
      <c r="AO146" s="377"/>
      <c r="AP146" s="377"/>
      <c r="AQ146" s="408"/>
      <c r="AR146" s="377"/>
      <c r="AS146" s="377"/>
      <c r="AT146" s="377"/>
      <c r="AU146" s="377"/>
      <c r="AV146" s="377"/>
      <c r="AW146" s="254"/>
      <c r="AX146" s="254"/>
      <c r="AY146" s="254"/>
      <c r="AZ146" s="254"/>
      <c r="BA146" s="254"/>
      <c r="BB146" s="254"/>
      <c r="BC146" s="254"/>
      <c r="BD146" s="254"/>
      <c r="BE146" s="254"/>
      <c r="BF146" s="254"/>
      <c r="BG146" s="254"/>
      <c r="BH146" s="254"/>
      <c r="BI146" s="254"/>
      <c r="BJ146" s="254"/>
      <c r="BK146" s="254"/>
      <c r="BL146" s="254"/>
      <c r="BM146" s="254"/>
      <c r="BN146" s="254"/>
      <c r="BO146" s="254"/>
      <c r="BP146" s="254"/>
      <c r="BQ146" s="254"/>
      <c r="BR146" s="254"/>
      <c r="BS146" s="254"/>
      <c r="BT146" s="254"/>
      <c r="BU146" s="254"/>
    </row>
    <row r="147" spans="1:73" ht="38.1" customHeight="1">
      <c r="A147" s="519"/>
      <c r="B147" s="446"/>
      <c r="C147" s="475"/>
      <c r="D147" s="449"/>
      <c r="E147" s="449"/>
      <c r="F147" s="453"/>
      <c r="G147" s="462"/>
      <c r="H147" s="377"/>
      <c r="I147" s="377"/>
      <c r="J147" s="377"/>
      <c r="K147" s="377"/>
      <c r="L147" s="377"/>
      <c r="M147" s="377"/>
      <c r="N147" s="377"/>
      <c r="O147" s="377"/>
      <c r="P147" s="377"/>
      <c r="Q147" s="377"/>
      <c r="R147" s="377"/>
      <c r="S147" s="377"/>
      <c r="T147" s="377"/>
      <c r="U147" s="377"/>
      <c r="V147" s="377"/>
      <c r="W147" s="377"/>
      <c r="X147" s="377"/>
      <c r="Y147" s="377"/>
      <c r="Z147" s="377"/>
      <c r="AA147" s="377"/>
      <c r="AB147" s="377"/>
      <c r="AC147" s="377"/>
      <c r="AD147" s="377"/>
      <c r="AE147" s="377"/>
      <c r="AF147" s="377"/>
      <c r="AG147" s="377"/>
      <c r="AH147" s="377"/>
      <c r="AI147" s="377"/>
      <c r="AJ147" s="377"/>
      <c r="AK147" s="408"/>
      <c r="AL147" s="408"/>
      <c r="AM147" s="377"/>
      <c r="AN147" s="377"/>
      <c r="AO147" s="377"/>
      <c r="AP147" s="377"/>
      <c r="AQ147" s="408"/>
      <c r="AR147" s="377"/>
      <c r="AS147" s="377"/>
      <c r="AT147" s="377"/>
      <c r="AU147" s="377"/>
      <c r="AV147" s="377"/>
      <c r="AW147" s="254"/>
      <c r="AX147" s="254"/>
      <c r="AY147" s="254"/>
      <c r="AZ147" s="254"/>
      <c r="BA147" s="254"/>
      <c r="BB147" s="254"/>
      <c r="BC147" s="254"/>
      <c r="BD147" s="254"/>
      <c r="BE147" s="254"/>
      <c r="BF147" s="254"/>
      <c r="BG147" s="254"/>
      <c r="BH147" s="254"/>
      <c r="BI147" s="254"/>
      <c r="BJ147" s="254"/>
      <c r="BK147" s="254"/>
      <c r="BL147" s="254"/>
      <c r="BM147" s="254"/>
      <c r="BN147" s="254"/>
      <c r="BO147" s="254"/>
      <c r="BP147" s="254"/>
      <c r="BQ147" s="254"/>
      <c r="BR147" s="254"/>
      <c r="BS147" s="254"/>
      <c r="BT147" s="254"/>
      <c r="BU147" s="254"/>
    </row>
    <row r="148" spans="1:73" ht="38.1" customHeight="1">
      <c r="A148" s="519"/>
      <c r="B148" s="451" t="s">
        <v>37</v>
      </c>
      <c r="C148" s="475"/>
      <c r="D148" s="449"/>
      <c r="E148" s="449"/>
      <c r="F148" s="454"/>
      <c r="G148" s="462"/>
      <c r="H148" s="377"/>
      <c r="I148" s="377"/>
      <c r="J148" s="377"/>
      <c r="K148" s="377"/>
      <c r="L148" s="377"/>
      <c r="M148" s="377"/>
      <c r="N148" s="377"/>
      <c r="O148" s="377"/>
      <c r="P148" s="377"/>
      <c r="Q148" s="377"/>
      <c r="R148" s="377"/>
      <c r="S148" s="377"/>
      <c r="T148" s="377"/>
      <c r="U148" s="377"/>
      <c r="V148" s="377"/>
      <c r="W148" s="377"/>
      <c r="X148" s="377"/>
      <c r="Y148" s="377"/>
      <c r="Z148" s="377"/>
      <c r="AA148" s="377"/>
      <c r="AB148" s="377"/>
      <c r="AC148" s="377"/>
      <c r="AD148" s="377"/>
      <c r="AE148" s="377"/>
      <c r="AF148" s="377"/>
      <c r="AG148" s="377"/>
      <c r="AH148" s="377"/>
      <c r="AI148" s="377"/>
      <c r="AJ148" s="377"/>
      <c r="AK148" s="408"/>
      <c r="AL148" s="408"/>
      <c r="AM148" s="377"/>
      <c r="AN148" s="377"/>
      <c r="AO148" s="377"/>
      <c r="AP148" s="377"/>
      <c r="AQ148" s="408"/>
      <c r="AR148" s="377"/>
      <c r="AS148" s="377"/>
      <c r="AT148" s="377"/>
      <c r="AU148" s="377"/>
      <c r="AV148" s="377"/>
      <c r="AW148" s="254"/>
      <c r="AX148" s="254"/>
      <c r="AY148" s="254"/>
      <c r="AZ148" s="254"/>
      <c r="BA148" s="254"/>
      <c r="BB148" s="254"/>
      <c r="BC148" s="254"/>
      <c r="BD148" s="254"/>
      <c r="BE148" s="254"/>
      <c r="BF148" s="254"/>
      <c r="BG148" s="254"/>
      <c r="BH148" s="254"/>
      <c r="BI148" s="254"/>
      <c r="BJ148" s="254"/>
      <c r="BK148" s="254"/>
      <c r="BL148" s="254"/>
      <c r="BM148" s="254"/>
      <c r="BN148" s="254"/>
      <c r="BO148" s="254"/>
      <c r="BP148" s="254"/>
      <c r="BQ148" s="254"/>
      <c r="BR148" s="254"/>
      <c r="BS148" s="254"/>
      <c r="BT148" s="254"/>
      <c r="BU148" s="254"/>
    </row>
    <row r="149" spans="1:73" ht="38.1" customHeight="1">
      <c r="A149" s="519"/>
      <c r="B149" s="447" t="s">
        <v>40</v>
      </c>
      <c r="C149" s="477"/>
      <c r="D149" s="455"/>
      <c r="E149" s="455"/>
      <c r="F149" s="454"/>
      <c r="G149" s="462"/>
      <c r="H149" s="377"/>
      <c r="I149" s="377"/>
      <c r="J149" s="377"/>
      <c r="K149" s="377"/>
      <c r="L149" s="377"/>
      <c r="M149" s="377"/>
      <c r="N149" s="377"/>
      <c r="O149" s="377"/>
      <c r="P149" s="377"/>
      <c r="Q149" s="377"/>
      <c r="R149" s="377"/>
      <c r="S149" s="377"/>
      <c r="T149" s="377"/>
      <c r="U149" s="377"/>
      <c r="V149" s="377"/>
      <c r="W149" s="377"/>
      <c r="X149" s="377"/>
      <c r="Y149" s="377"/>
      <c r="Z149" s="377"/>
      <c r="AA149" s="377"/>
      <c r="AB149" s="377"/>
      <c r="AC149" s="377"/>
      <c r="AD149" s="377"/>
      <c r="AE149" s="377"/>
      <c r="AF149" s="377"/>
      <c r="AG149" s="377"/>
      <c r="AH149" s="377"/>
      <c r="AI149" s="377"/>
      <c r="AJ149" s="377"/>
      <c r="AK149" s="408"/>
      <c r="AL149" s="408"/>
      <c r="AM149" s="377"/>
      <c r="AN149" s="377"/>
      <c r="AO149" s="377"/>
      <c r="AP149" s="377"/>
      <c r="AQ149" s="408"/>
      <c r="AR149" s="377"/>
      <c r="AS149" s="377"/>
      <c r="AT149" s="377"/>
      <c r="AU149" s="377"/>
      <c r="AV149" s="377"/>
      <c r="AW149" s="254"/>
      <c r="AX149" s="254"/>
      <c r="AY149" s="254"/>
      <c r="AZ149" s="254"/>
      <c r="BA149" s="254"/>
      <c r="BB149" s="254"/>
      <c r="BC149" s="254"/>
      <c r="BD149" s="254"/>
      <c r="BE149" s="254"/>
      <c r="BF149" s="254"/>
      <c r="BG149" s="254"/>
      <c r="BH149" s="254"/>
      <c r="BI149" s="254"/>
      <c r="BJ149" s="254"/>
      <c r="BK149" s="254"/>
      <c r="BL149" s="254"/>
      <c r="BM149" s="254"/>
      <c r="BN149" s="254"/>
      <c r="BO149" s="254"/>
      <c r="BP149" s="254"/>
      <c r="BQ149" s="254"/>
      <c r="BR149" s="254"/>
      <c r="BS149" s="254"/>
      <c r="BT149" s="254"/>
      <c r="BU149" s="254"/>
    </row>
    <row r="150" spans="1:73" ht="38.1" customHeight="1">
      <c r="A150" s="519"/>
      <c r="B150" s="448" t="str">
        <f>A50</f>
        <v>Nelson</v>
      </c>
      <c r="C150" s="478" t="s">
        <v>37</v>
      </c>
      <c r="D150" s="449"/>
      <c r="E150" s="449"/>
      <c r="F150" s="445"/>
      <c r="G150" s="462"/>
      <c r="H150" s="377"/>
      <c r="I150" s="377"/>
      <c r="J150" s="377"/>
      <c r="K150" s="377"/>
      <c r="L150" s="377"/>
      <c r="M150" s="377"/>
      <c r="N150" s="377"/>
      <c r="O150" s="377"/>
      <c r="P150" s="377"/>
      <c r="Q150" s="377"/>
      <c r="R150" s="377"/>
      <c r="S150" s="377"/>
      <c r="T150" s="377"/>
      <c r="U150" s="377"/>
      <c r="V150" s="377"/>
      <c r="W150" s="377"/>
      <c r="X150" s="377"/>
      <c r="Y150" s="377"/>
      <c r="Z150" s="377"/>
      <c r="AA150" s="377"/>
      <c r="AB150" s="377"/>
      <c r="AC150" s="377"/>
      <c r="AD150" s="377"/>
      <c r="AE150" s="377"/>
      <c r="AF150" s="377"/>
      <c r="AG150" s="377"/>
      <c r="AH150" s="377"/>
      <c r="AI150" s="377"/>
      <c r="AJ150" s="377"/>
      <c r="AK150" s="408"/>
      <c r="AL150" s="408"/>
      <c r="AM150" s="377"/>
      <c r="AN150" s="377"/>
      <c r="AO150" s="377"/>
      <c r="AP150" s="377"/>
      <c r="AQ150" s="408"/>
      <c r="AR150" s="377"/>
      <c r="AS150" s="377"/>
      <c r="AT150" s="377"/>
      <c r="AU150" s="377"/>
      <c r="AV150" s="377"/>
    </row>
    <row r="151" spans="1:73" ht="38.1" customHeight="1">
      <c r="A151" s="519"/>
      <c r="B151" s="445" t="str">
        <f>A46</f>
        <v>Smalluk</v>
      </c>
      <c r="C151" s="479" t="s">
        <v>40</v>
      </c>
      <c r="D151" s="449"/>
      <c r="E151" s="449"/>
      <c r="F151" s="445"/>
      <c r="G151" s="449"/>
      <c r="H151" s="377"/>
      <c r="I151" s="377"/>
      <c r="J151" s="377"/>
      <c r="K151" s="377"/>
      <c r="L151" s="377"/>
      <c r="M151" s="377"/>
      <c r="N151" s="377"/>
      <c r="O151" s="377"/>
      <c r="P151" s="377"/>
      <c r="Q151" s="377"/>
      <c r="R151" s="377"/>
      <c r="S151" s="377"/>
      <c r="T151" s="377"/>
      <c r="U151" s="377"/>
      <c r="V151" s="377"/>
      <c r="W151" s="377"/>
      <c r="X151" s="377"/>
      <c r="Y151" s="377"/>
      <c r="Z151" s="377"/>
      <c r="AA151" s="377"/>
      <c r="AB151" s="377"/>
      <c r="AC151" s="377"/>
      <c r="AD151" s="377"/>
      <c r="AE151" s="377"/>
      <c r="AF151" s="377"/>
      <c r="AG151" s="377"/>
      <c r="AH151" s="377"/>
      <c r="AI151" s="377"/>
      <c r="AJ151" s="377"/>
      <c r="AK151" s="408"/>
      <c r="AL151" s="408"/>
      <c r="AM151" s="377"/>
      <c r="AN151" s="377"/>
      <c r="AO151" s="377"/>
      <c r="AP151" s="377"/>
      <c r="AQ151" s="408"/>
      <c r="AR151" s="377"/>
      <c r="AS151" s="377"/>
      <c r="AT151" s="377"/>
      <c r="AU151" s="377"/>
      <c r="AV151" s="377"/>
    </row>
    <row r="152" spans="1:73" ht="38.1" customHeight="1">
      <c r="A152" s="519"/>
      <c r="B152" s="446"/>
      <c r="C152" s="478"/>
      <c r="D152" s="449"/>
      <c r="E152" s="449"/>
      <c r="F152" s="445"/>
      <c r="G152" s="449"/>
    </row>
    <row r="153" spans="1:73" ht="38.1" customHeight="1">
      <c r="A153" s="519"/>
      <c r="B153" s="451" t="s">
        <v>37</v>
      </c>
      <c r="C153" s="481"/>
      <c r="D153" s="449"/>
      <c r="E153" s="449"/>
      <c r="F153" s="449"/>
      <c r="G153" s="449"/>
    </row>
    <row r="154" spans="1:73" ht="38.1" customHeight="1">
      <c r="A154" s="519"/>
      <c r="B154" s="447" t="s">
        <v>40</v>
      </c>
      <c r="C154" s="475"/>
      <c r="D154" s="445"/>
      <c r="E154" s="449"/>
      <c r="F154" s="449"/>
      <c r="G154" s="449"/>
    </row>
    <row r="155" spans="1:73" ht="38.1" customHeight="1">
      <c r="A155" s="519"/>
      <c r="B155" s="448" t="str">
        <f>A49</f>
        <v>Perry</v>
      </c>
      <c r="C155" s="475"/>
      <c r="D155" s="445"/>
      <c r="E155" s="449"/>
      <c r="F155" s="449"/>
      <c r="G155" s="449"/>
    </row>
    <row r="156" spans="1:73" ht="38.1" customHeight="1">
      <c r="A156" s="519"/>
      <c r="B156" s="449"/>
      <c r="C156" s="462"/>
      <c r="D156" s="449"/>
      <c r="E156" s="449"/>
      <c r="F156" s="449"/>
      <c r="G156" s="449"/>
    </row>
    <row r="157" spans="1:73" ht="38.1" customHeight="1">
      <c r="A157" s="519"/>
      <c r="B157" s="444"/>
      <c r="C157" s="444"/>
      <c r="D157" s="444"/>
      <c r="E157" s="444"/>
      <c r="F157" s="444"/>
      <c r="G157" s="444"/>
    </row>
    <row r="158" spans="1:73" ht="38.1" customHeight="1">
      <c r="A158" s="518"/>
      <c r="B158" s="444"/>
      <c r="C158" s="444"/>
      <c r="D158" s="444"/>
      <c r="E158" s="444"/>
      <c r="F158" s="444"/>
      <c r="G158" s="444"/>
    </row>
    <row r="159" spans="1:73" ht="38.1" customHeight="1">
      <c r="A159" s="518"/>
      <c r="B159" s="444"/>
      <c r="C159" s="444"/>
      <c r="D159" s="444"/>
      <c r="E159" s="444"/>
      <c r="F159" s="444"/>
      <c r="G159" s="444"/>
    </row>
    <row r="160" spans="1:73" ht="38.1" customHeight="1">
      <c r="A160" s="518"/>
      <c r="B160" s="444"/>
      <c r="C160" s="444"/>
      <c r="D160" s="444"/>
      <c r="E160" s="444"/>
      <c r="F160" s="444"/>
      <c r="G160" s="444"/>
    </row>
    <row r="161" spans="1:7" ht="38.1" customHeight="1">
      <c r="A161" s="518"/>
      <c r="B161" s="444"/>
      <c r="C161" s="444"/>
      <c r="D161" s="444"/>
      <c r="E161" s="444"/>
      <c r="F161" s="444"/>
      <c r="G161" s="444"/>
    </row>
    <row r="162" spans="1:7" ht="38.1" customHeight="1">
      <c r="A162" s="518"/>
      <c r="B162" s="444"/>
      <c r="C162" s="444"/>
      <c r="D162" s="444"/>
      <c r="E162" s="444"/>
      <c r="F162" s="444"/>
      <c r="G162" s="444"/>
    </row>
    <row r="163" spans="1:7" ht="38.1" customHeight="1">
      <c r="A163" s="518"/>
      <c r="B163" s="444"/>
      <c r="C163" s="444"/>
      <c r="D163" s="444"/>
      <c r="E163" s="444"/>
      <c r="F163" s="444"/>
      <c r="G163" s="444"/>
    </row>
    <row r="164" spans="1:7" ht="38.1" customHeight="1">
      <c r="A164" s="518"/>
      <c r="B164" s="444"/>
      <c r="C164" s="444"/>
      <c r="D164" s="444"/>
      <c r="E164" s="444"/>
      <c r="F164" s="444"/>
      <c r="G164" s="444"/>
    </row>
    <row r="165" spans="1:7" ht="38.1" customHeight="1">
      <c r="A165" s="518"/>
      <c r="B165" s="444"/>
      <c r="C165" s="444"/>
      <c r="D165" s="444"/>
      <c r="E165" s="444"/>
      <c r="F165" s="444"/>
      <c r="G165" s="444"/>
    </row>
    <row r="166" spans="1:7" ht="38.1" customHeight="1">
      <c r="A166" s="518"/>
      <c r="B166" s="444"/>
      <c r="C166" s="444"/>
      <c r="D166" s="444"/>
      <c r="E166" s="444"/>
      <c r="F166" s="444"/>
      <c r="G166" s="444"/>
    </row>
    <row r="167" spans="1:7" ht="38.1" customHeight="1">
      <c r="A167" s="518"/>
      <c r="B167" s="444"/>
      <c r="C167" s="444"/>
      <c r="D167" s="444"/>
      <c r="E167" s="444"/>
      <c r="F167" s="444"/>
      <c r="G167" s="444"/>
    </row>
    <row r="168" spans="1:7" ht="38.1" customHeight="1">
      <c r="A168" s="518"/>
      <c r="B168" s="444"/>
      <c r="C168" s="444"/>
      <c r="D168" s="444"/>
      <c r="E168" s="444"/>
      <c r="F168" s="444"/>
      <c r="G168" s="444"/>
    </row>
    <row r="169" spans="1:7" ht="38.1" customHeight="1">
      <c r="A169" s="518"/>
      <c r="B169" s="444"/>
      <c r="C169" s="444"/>
      <c r="D169" s="444"/>
      <c r="E169" s="444"/>
      <c r="F169" s="444"/>
      <c r="G169" s="444"/>
    </row>
    <row r="170" spans="1:7" ht="38.1" customHeight="1">
      <c r="A170" s="518"/>
      <c r="B170" s="444"/>
      <c r="C170" s="444"/>
      <c r="D170" s="444"/>
      <c r="E170" s="444"/>
      <c r="F170" s="444"/>
      <c r="G170" s="444"/>
    </row>
    <row r="171" spans="1:7" ht="38.1" customHeight="1">
      <c r="A171" s="518"/>
      <c r="B171" s="444"/>
      <c r="C171" s="444"/>
      <c r="D171" s="444"/>
      <c r="E171" s="444"/>
      <c r="F171" s="444"/>
      <c r="G171" s="493"/>
    </row>
    <row r="172" spans="1:7" ht="38.1" customHeight="1">
      <c r="A172" s="518"/>
      <c r="B172" s="444"/>
      <c r="C172" s="444"/>
      <c r="D172" s="444"/>
      <c r="E172" s="444"/>
      <c r="F172" s="444"/>
      <c r="G172" s="493"/>
    </row>
    <row r="173" spans="1:7" ht="38.1" customHeight="1">
      <c r="A173" s="518"/>
      <c r="B173" s="444"/>
      <c r="C173" s="444"/>
      <c r="D173" s="444"/>
      <c r="E173" s="444"/>
      <c r="F173" s="444"/>
      <c r="G173" s="493"/>
    </row>
    <row r="174" spans="1:7" ht="38.1" customHeight="1">
      <c r="A174" s="518"/>
      <c r="B174" s="444"/>
      <c r="C174" s="444"/>
      <c r="D174" s="444"/>
      <c r="E174" s="444"/>
      <c r="F174" s="444"/>
      <c r="G174" s="493"/>
    </row>
    <row r="175" spans="1:7" ht="38.1" customHeight="1">
      <c r="A175" s="518"/>
      <c r="B175" s="444"/>
      <c r="C175" s="444"/>
      <c r="D175" s="444"/>
      <c r="E175" s="444"/>
      <c r="F175" s="444"/>
      <c r="G175" s="493"/>
    </row>
    <row r="176" spans="1:7" ht="38.1" customHeight="1">
      <c r="A176" s="518"/>
      <c r="B176" s="444"/>
      <c r="C176" s="444"/>
      <c r="D176" s="444"/>
      <c r="E176" s="444"/>
      <c r="F176" s="444"/>
      <c r="G176" s="493"/>
    </row>
    <row r="177" spans="1:7" ht="38.1" customHeight="1">
      <c r="A177" s="518"/>
      <c r="B177" s="444"/>
      <c r="C177" s="444"/>
      <c r="D177" s="444"/>
      <c r="E177" s="444"/>
      <c r="F177" s="444"/>
      <c r="G177" s="493"/>
    </row>
    <row r="178" spans="1:7" ht="38.1" customHeight="1">
      <c r="A178" s="518"/>
      <c r="B178" s="444"/>
      <c r="C178" s="444"/>
      <c r="D178" s="444"/>
      <c r="E178" s="444"/>
      <c r="F178" s="444"/>
      <c r="G178" s="493"/>
    </row>
    <row r="179" spans="1:7" ht="38.1" customHeight="1">
      <c r="A179" s="518"/>
      <c r="B179" s="444"/>
      <c r="C179" s="444"/>
      <c r="D179" s="444"/>
      <c r="E179" s="444"/>
      <c r="F179" s="444"/>
      <c r="G179" s="493"/>
    </row>
    <row r="180" spans="1:7" ht="38.1" customHeight="1">
      <c r="A180" s="518"/>
      <c r="B180" s="444"/>
      <c r="C180" s="444"/>
      <c r="D180" s="444"/>
      <c r="E180" s="444"/>
      <c r="F180" s="444"/>
      <c r="G180" s="493"/>
    </row>
    <row r="181" spans="1:7" ht="38.1" customHeight="1">
      <c r="A181" s="518"/>
      <c r="B181" s="444"/>
      <c r="C181" s="444"/>
      <c r="D181" s="444"/>
      <c r="E181" s="444"/>
      <c r="F181" s="444"/>
      <c r="G181" s="493"/>
    </row>
    <row r="182" spans="1:7" ht="38.1" customHeight="1">
      <c r="A182" s="518"/>
      <c r="B182" s="444"/>
      <c r="C182" s="444"/>
      <c r="D182" s="444"/>
      <c r="E182" s="444"/>
      <c r="F182" s="444"/>
      <c r="G182" s="493"/>
    </row>
    <row r="183" spans="1:7" ht="38.1" customHeight="1">
      <c r="A183" s="518"/>
      <c r="B183" s="444"/>
      <c r="C183" s="444"/>
      <c r="D183" s="444"/>
      <c r="E183" s="444"/>
      <c r="F183" s="444"/>
      <c r="G183" s="493"/>
    </row>
    <row r="184" spans="1:7" ht="38.1" customHeight="1">
      <c r="A184" s="518"/>
      <c r="B184" s="444"/>
      <c r="C184" s="444"/>
      <c r="D184" s="444"/>
      <c r="E184" s="444"/>
      <c r="F184" s="444"/>
      <c r="G184" s="493"/>
    </row>
    <row r="185" spans="1:7" ht="38.1" customHeight="1">
      <c r="A185" s="518"/>
      <c r="B185" s="444"/>
      <c r="C185" s="444"/>
      <c r="D185" s="444"/>
      <c r="E185" s="444"/>
      <c r="F185" s="444"/>
      <c r="G185" s="493"/>
    </row>
    <row r="186" spans="1:7" ht="38.1" customHeight="1">
      <c r="A186" s="518"/>
      <c r="B186" s="444"/>
      <c r="C186" s="444"/>
      <c r="D186" s="444"/>
      <c r="E186" s="444"/>
      <c r="F186" s="444"/>
      <c r="G186" s="493"/>
    </row>
    <row r="187" spans="1:7" ht="38.1" customHeight="1">
      <c r="A187" s="518"/>
      <c r="B187" s="444"/>
      <c r="C187" s="444"/>
      <c r="D187" s="444"/>
      <c r="E187" s="444"/>
      <c r="F187" s="444"/>
      <c r="G187" s="493"/>
    </row>
    <row r="188" spans="1:7" ht="38.1" customHeight="1">
      <c r="A188" s="518"/>
      <c r="B188" s="444"/>
      <c r="C188" s="444"/>
      <c r="D188" s="444"/>
      <c r="E188" s="444"/>
      <c r="F188" s="444"/>
      <c r="G188" s="493"/>
    </row>
    <row r="189" spans="1:7" ht="38.1" customHeight="1">
      <c r="A189" s="518"/>
      <c r="B189" s="444"/>
      <c r="C189" s="444"/>
      <c r="D189" s="444"/>
      <c r="E189" s="444"/>
      <c r="F189" s="444"/>
      <c r="G189" s="493"/>
    </row>
    <row r="190" spans="1:7" ht="38.1" customHeight="1">
      <c r="A190" s="518"/>
      <c r="B190" s="444"/>
      <c r="C190" s="444"/>
      <c r="D190" s="444"/>
      <c r="E190" s="444"/>
      <c r="F190" s="444"/>
      <c r="G190" s="493"/>
    </row>
    <row r="191" spans="1:7" ht="38.1" customHeight="1">
      <c r="A191" s="518"/>
      <c r="B191" s="444"/>
      <c r="C191" s="444"/>
      <c r="D191" s="444"/>
      <c r="E191" s="444"/>
      <c r="F191" s="444"/>
      <c r="G191" s="493"/>
    </row>
    <row r="192" spans="1:7" ht="38.1" customHeight="1">
      <c r="A192" s="518"/>
      <c r="B192" s="444"/>
      <c r="C192" s="444"/>
      <c r="D192" s="444"/>
      <c r="E192" s="444"/>
      <c r="F192" s="444"/>
      <c r="G192" s="493"/>
    </row>
    <row r="193" spans="1:7" ht="38.1" customHeight="1">
      <c r="A193" s="518"/>
      <c r="B193" s="444"/>
      <c r="C193" s="444"/>
      <c r="D193" s="444"/>
      <c r="E193" s="444"/>
      <c r="F193" s="444"/>
      <c r="G193" s="493"/>
    </row>
    <row r="194" spans="1:7" ht="38.1" customHeight="1">
      <c r="A194" s="518"/>
      <c r="B194" s="444"/>
      <c r="C194" s="444"/>
      <c r="D194" s="444"/>
      <c r="E194" s="444"/>
      <c r="F194" s="444"/>
      <c r="G194" s="493"/>
    </row>
    <row r="195" spans="1:7" ht="38.1" customHeight="1">
      <c r="A195" s="518"/>
      <c r="B195" s="444"/>
      <c r="C195" s="444"/>
      <c r="D195" s="444"/>
      <c r="E195" s="444"/>
      <c r="F195" s="444"/>
      <c r="G195" s="493"/>
    </row>
    <row r="196" spans="1:7" ht="38.1" customHeight="1">
      <c r="A196" s="518"/>
      <c r="B196" s="444"/>
      <c r="C196" s="444"/>
      <c r="D196" s="444"/>
      <c r="E196" s="444"/>
      <c r="F196" s="444"/>
      <c r="G196" s="493"/>
    </row>
    <row r="197" spans="1:7" ht="38.1" customHeight="1">
      <c r="A197" s="518"/>
      <c r="B197" s="444"/>
      <c r="C197" s="444"/>
      <c r="D197" s="444"/>
      <c r="E197" s="444"/>
      <c r="F197" s="444"/>
      <c r="G197" s="493"/>
    </row>
    <row r="198" spans="1:7" ht="38.1" customHeight="1">
      <c r="A198" s="518"/>
      <c r="B198" s="444"/>
      <c r="C198" s="444"/>
      <c r="D198" s="444"/>
      <c r="E198" s="444"/>
      <c r="F198" s="444"/>
      <c r="G198" s="493"/>
    </row>
    <row r="199" spans="1:7" ht="38.1" customHeight="1">
      <c r="A199" s="518"/>
      <c r="B199" s="444"/>
      <c r="C199" s="444"/>
      <c r="D199" s="444"/>
      <c r="E199" s="444"/>
      <c r="F199" s="444"/>
      <c r="G199" s="493"/>
    </row>
    <row r="200" spans="1:7" ht="38.1" customHeight="1">
      <c r="A200" s="518"/>
      <c r="B200" s="444"/>
      <c r="C200" s="444"/>
      <c r="D200" s="444"/>
      <c r="E200" s="444"/>
      <c r="F200" s="444"/>
      <c r="G200" s="493"/>
    </row>
    <row r="201" spans="1:7" ht="38.1" customHeight="1">
      <c r="A201" s="518"/>
      <c r="B201" s="444"/>
      <c r="C201" s="444"/>
      <c r="D201" s="444"/>
      <c r="E201" s="444"/>
      <c r="F201" s="444"/>
      <c r="G201" s="493"/>
    </row>
    <row r="202" spans="1:7" ht="38.1" customHeight="1">
      <c r="A202" s="518"/>
      <c r="B202" s="444"/>
      <c r="C202" s="444"/>
      <c r="D202" s="444"/>
      <c r="E202" s="444"/>
      <c r="F202" s="444"/>
      <c r="G202" s="493"/>
    </row>
    <row r="203" spans="1:7" ht="38.1" customHeight="1">
      <c r="A203" s="518"/>
      <c r="B203" s="444"/>
      <c r="C203" s="444"/>
      <c r="D203" s="444"/>
      <c r="E203" s="444"/>
      <c r="F203" s="444"/>
      <c r="G203" s="493"/>
    </row>
    <row r="204" spans="1:7" ht="38.1" customHeight="1">
      <c r="A204" s="518"/>
      <c r="B204" s="444"/>
      <c r="C204" s="444"/>
      <c r="D204" s="444"/>
      <c r="E204" s="444"/>
      <c r="F204" s="444"/>
      <c r="G204" s="493"/>
    </row>
    <row r="205" spans="1:7" ht="38.1" customHeight="1">
      <c r="A205" s="518"/>
      <c r="B205" s="444"/>
      <c r="C205" s="444"/>
      <c r="D205" s="444"/>
      <c r="E205" s="444"/>
      <c r="F205" s="444"/>
      <c r="G205" s="493"/>
    </row>
    <row r="206" spans="1:7" ht="38.1" customHeight="1">
      <c r="A206" s="518"/>
      <c r="B206" s="444"/>
      <c r="C206" s="444"/>
      <c r="D206" s="444"/>
      <c r="E206" s="444"/>
      <c r="F206" s="444"/>
      <c r="G206" s="493"/>
    </row>
    <row r="207" spans="1:7" ht="38.1" customHeight="1">
      <c r="A207" s="518"/>
      <c r="B207" s="444"/>
      <c r="C207" s="444"/>
      <c r="D207" s="444"/>
      <c r="E207" s="444"/>
      <c r="F207" s="444"/>
      <c r="G207" s="493"/>
    </row>
    <row r="208" spans="1:7" ht="38.1" customHeight="1">
      <c r="A208" s="518"/>
      <c r="B208" s="444"/>
      <c r="C208" s="444"/>
      <c r="D208" s="444"/>
      <c r="E208" s="444"/>
      <c r="F208" s="444"/>
      <c r="G208" s="444"/>
    </row>
    <row r="209" spans="1:7" ht="38.1" customHeight="1">
      <c r="A209" s="518"/>
      <c r="B209" s="444"/>
      <c r="C209" s="444"/>
      <c r="D209" s="444"/>
      <c r="E209" s="444"/>
      <c r="F209" s="444"/>
      <c r="G209" s="444"/>
    </row>
    <row r="210" spans="1:7" ht="38.1" customHeight="1">
      <c r="A210" s="518"/>
      <c r="B210" s="444"/>
      <c r="C210" s="444"/>
      <c r="D210" s="444"/>
      <c r="E210" s="444"/>
      <c r="F210" s="444"/>
      <c r="G210" s="444"/>
    </row>
    <row r="211" spans="1:7" ht="38.1" customHeight="1">
      <c r="A211" s="518"/>
      <c r="B211" s="444"/>
      <c r="C211" s="444"/>
      <c r="D211" s="444"/>
      <c r="E211" s="444"/>
      <c r="F211" s="444"/>
      <c r="G211" s="444"/>
    </row>
    <row r="212" spans="1:7" ht="38.1" customHeight="1">
      <c r="A212" s="518"/>
      <c r="B212" s="444"/>
      <c r="C212" s="444"/>
      <c r="D212" s="444"/>
      <c r="E212" s="444"/>
      <c r="F212" s="444"/>
      <c r="G212" s="444"/>
    </row>
    <row r="213" spans="1:7" ht="38.1" customHeight="1">
      <c r="A213" s="518"/>
      <c r="B213" s="444"/>
      <c r="C213" s="444"/>
      <c r="D213" s="444"/>
      <c r="E213" s="444"/>
      <c r="F213" s="444"/>
      <c r="G213" s="444"/>
    </row>
    <row r="214" spans="1:7" ht="38.1" customHeight="1">
      <c r="A214" s="518"/>
      <c r="B214" s="444"/>
      <c r="C214" s="444"/>
      <c r="D214" s="444"/>
      <c r="E214" s="444"/>
      <c r="F214" s="444"/>
      <c r="G214" s="444"/>
    </row>
    <row r="215" spans="1:7" ht="38.1" customHeight="1">
      <c r="A215" s="518"/>
      <c r="B215" s="444"/>
      <c r="C215" s="444"/>
      <c r="D215" s="444"/>
      <c r="E215" s="444"/>
      <c r="F215" s="444"/>
      <c r="G215" s="444"/>
    </row>
    <row r="216" spans="1:7" ht="38.1" customHeight="1">
      <c r="A216" s="518"/>
      <c r="B216" s="444"/>
      <c r="C216" s="444"/>
      <c r="D216" s="444"/>
      <c r="E216" s="444"/>
      <c r="F216" s="444"/>
      <c r="G216" s="444"/>
    </row>
    <row r="217" spans="1:7" ht="38.1" customHeight="1">
      <c r="A217" s="518"/>
      <c r="B217" s="444"/>
      <c r="C217" s="444"/>
      <c r="D217" s="444"/>
      <c r="E217" s="444"/>
      <c r="F217" s="444"/>
      <c r="G217" s="444"/>
    </row>
    <row r="218" spans="1:7" ht="38.1" customHeight="1">
      <c r="A218" s="518"/>
      <c r="B218" s="444"/>
      <c r="C218" s="444"/>
      <c r="D218" s="444"/>
      <c r="E218" s="444"/>
      <c r="F218" s="444"/>
      <c r="G218" s="444"/>
    </row>
    <row r="219" spans="1:7" ht="38.1" customHeight="1">
      <c r="A219" s="518"/>
      <c r="B219" s="444"/>
      <c r="C219" s="444"/>
      <c r="D219" s="444"/>
      <c r="E219" s="444"/>
      <c r="F219" s="444"/>
      <c r="G219" s="444"/>
    </row>
    <row r="220" spans="1:7" ht="38.1" customHeight="1">
      <c r="A220" s="518"/>
      <c r="B220" s="444"/>
      <c r="C220" s="444"/>
      <c r="D220" s="444"/>
      <c r="E220" s="444"/>
      <c r="F220" s="444"/>
      <c r="G220" s="444"/>
    </row>
    <row r="221" spans="1:7" ht="38.1" customHeight="1">
      <c r="A221" s="518"/>
      <c r="B221" s="444"/>
      <c r="C221" s="444"/>
      <c r="D221" s="444"/>
      <c r="E221" s="444"/>
      <c r="F221" s="444"/>
      <c r="G221" s="444"/>
    </row>
    <row r="222" spans="1:7" ht="38.1" customHeight="1">
      <c r="A222" s="518"/>
      <c r="B222" s="444"/>
      <c r="C222" s="444"/>
      <c r="D222" s="444"/>
      <c r="E222" s="444"/>
      <c r="F222" s="444"/>
      <c r="G222" s="444"/>
    </row>
    <row r="223" spans="1:7" ht="38.1" customHeight="1">
      <c r="A223" s="518"/>
      <c r="B223" s="444"/>
      <c r="C223" s="444"/>
      <c r="D223" s="444"/>
      <c r="E223" s="444"/>
      <c r="F223" s="444"/>
      <c r="G223" s="444"/>
    </row>
    <row r="224" spans="1:7" ht="38.1" customHeight="1">
      <c r="A224" s="518"/>
      <c r="B224" s="444"/>
      <c r="C224" s="444"/>
      <c r="D224" s="444"/>
      <c r="E224" s="444"/>
      <c r="F224" s="444"/>
      <c r="G224" s="444"/>
    </row>
    <row r="225" spans="1:7" ht="38.1" customHeight="1">
      <c r="A225" s="518"/>
      <c r="B225" s="444"/>
      <c r="C225" s="444"/>
      <c r="D225" s="444"/>
      <c r="E225" s="444"/>
      <c r="F225" s="444"/>
      <c r="G225" s="444"/>
    </row>
    <row r="226" spans="1:7" ht="38.1" customHeight="1">
      <c r="A226" s="518"/>
      <c r="B226" s="444"/>
      <c r="C226" s="444"/>
      <c r="D226" s="444"/>
      <c r="E226" s="444"/>
      <c r="F226" s="444"/>
      <c r="G226" s="444"/>
    </row>
    <row r="227" spans="1:7" ht="38.1" customHeight="1">
      <c r="A227" s="518"/>
      <c r="B227" s="444"/>
      <c r="C227" s="444"/>
      <c r="D227" s="444"/>
      <c r="E227" s="444"/>
      <c r="F227" s="444"/>
      <c r="G227" s="444"/>
    </row>
    <row r="228" spans="1:7" ht="38.1" customHeight="1">
      <c r="A228" s="518"/>
      <c r="B228" s="444"/>
      <c r="C228" s="444"/>
      <c r="D228" s="444"/>
      <c r="E228" s="444"/>
      <c r="F228" s="444"/>
      <c r="G228" s="444"/>
    </row>
    <row r="229" spans="1:7" ht="38.1" customHeight="1">
      <c r="A229" s="518"/>
      <c r="B229" s="444"/>
      <c r="C229" s="444"/>
      <c r="D229" s="444"/>
      <c r="E229" s="444"/>
      <c r="F229" s="444"/>
      <c r="G229" s="444"/>
    </row>
    <row r="230" spans="1:7" ht="38.1" customHeight="1">
      <c r="A230" s="518"/>
      <c r="B230" s="444"/>
      <c r="C230" s="444"/>
      <c r="D230" s="444"/>
      <c r="E230" s="444"/>
      <c r="F230" s="444"/>
      <c r="G230" s="444"/>
    </row>
    <row r="231" spans="1:7" ht="38.1" customHeight="1">
      <c r="A231" s="518"/>
      <c r="B231" s="444"/>
      <c r="C231" s="444"/>
      <c r="D231" s="444"/>
      <c r="E231" s="444"/>
      <c r="F231" s="444"/>
      <c r="G231" s="444"/>
    </row>
    <row r="232" spans="1:7" ht="38.1" customHeight="1">
      <c r="A232" s="518"/>
      <c r="B232" s="444"/>
      <c r="C232" s="444"/>
      <c r="D232" s="444"/>
      <c r="E232" s="444"/>
      <c r="F232" s="444"/>
      <c r="G232" s="444"/>
    </row>
    <row r="233" spans="1:7" ht="38.1" customHeight="1">
      <c r="A233" s="518"/>
      <c r="B233" s="444"/>
      <c r="C233" s="444"/>
      <c r="D233" s="444"/>
      <c r="E233" s="444"/>
      <c r="F233" s="444"/>
      <c r="G233" s="444"/>
    </row>
    <row r="234" spans="1:7" ht="38.1" customHeight="1">
      <c r="A234" s="518"/>
      <c r="B234" s="444"/>
      <c r="C234" s="444"/>
      <c r="D234" s="444"/>
      <c r="E234" s="444"/>
      <c r="F234" s="444"/>
      <c r="G234" s="444"/>
    </row>
    <row r="235" spans="1:7" ht="38.1" customHeight="1">
      <c r="A235" s="518"/>
      <c r="B235" s="444"/>
      <c r="C235" s="444"/>
      <c r="D235" s="444"/>
      <c r="E235" s="444"/>
      <c r="F235" s="444"/>
      <c r="G235" s="444"/>
    </row>
    <row r="236" spans="1:7" ht="38.1" customHeight="1">
      <c r="A236" s="518"/>
      <c r="B236" s="444"/>
      <c r="C236" s="444"/>
      <c r="D236" s="444"/>
      <c r="E236" s="444"/>
      <c r="F236" s="444"/>
      <c r="G236" s="444"/>
    </row>
    <row r="237" spans="1:7" ht="38.1" customHeight="1">
      <c r="B237" s="444"/>
      <c r="C237" s="444"/>
      <c r="D237" s="444"/>
      <c r="E237" s="444"/>
      <c r="F237" s="444"/>
      <c r="G237" s="444"/>
    </row>
    <row r="238" spans="1:7" ht="38.1" customHeight="1">
      <c r="B238" s="444"/>
      <c r="C238" s="444"/>
      <c r="D238" s="444"/>
      <c r="E238" s="444"/>
      <c r="F238" s="444"/>
      <c r="G238" s="444"/>
    </row>
    <row r="239" spans="1:7" ht="38.1" customHeight="1">
      <c r="B239" s="444"/>
      <c r="C239" s="444"/>
      <c r="D239" s="444"/>
      <c r="E239" s="444"/>
      <c r="F239" s="444"/>
      <c r="G239" s="444"/>
    </row>
    <row r="240" spans="1:7" ht="38.1" customHeight="1">
      <c r="B240" s="444"/>
      <c r="C240" s="444"/>
      <c r="D240" s="444"/>
      <c r="E240" s="444"/>
      <c r="F240" s="444"/>
      <c r="G240" s="444"/>
    </row>
    <row r="241" spans="2:7" ht="38.1" customHeight="1">
      <c r="B241" s="444"/>
      <c r="C241" s="444"/>
      <c r="D241" s="444"/>
      <c r="E241" s="444"/>
      <c r="F241" s="444"/>
      <c r="G241" s="444"/>
    </row>
    <row r="242" spans="2:7" ht="38.1" customHeight="1">
      <c r="B242" s="444"/>
      <c r="C242" s="444"/>
      <c r="D242" s="444"/>
      <c r="E242" s="444"/>
      <c r="F242" s="444"/>
      <c r="G242" s="444"/>
    </row>
    <row r="243" spans="2:7" ht="38.1" customHeight="1">
      <c r="B243" s="444"/>
      <c r="C243" s="444"/>
      <c r="D243" s="444"/>
      <c r="E243" s="444"/>
      <c r="F243" s="444"/>
      <c r="G243" s="444"/>
    </row>
    <row r="244" spans="2:7" ht="38.1" customHeight="1">
      <c r="B244" s="444"/>
      <c r="C244" s="444"/>
      <c r="D244" s="444"/>
      <c r="E244" s="444"/>
      <c r="F244" s="444"/>
      <c r="G244" s="444"/>
    </row>
    <row r="245" spans="2:7" ht="38.1" customHeight="1">
      <c r="B245" s="444"/>
      <c r="C245" s="444"/>
      <c r="D245" s="444"/>
      <c r="E245" s="444"/>
      <c r="F245" s="444"/>
      <c r="G245" s="444"/>
    </row>
    <row r="246" spans="2:7" ht="38.1" customHeight="1">
      <c r="B246" s="444"/>
      <c r="C246" s="444"/>
      <c r="D246" s="444"/>
      <c r="E246" s="444"/>
      <c r="F246" s="444"/>
      <c r="G246" s="444"/>
    </row>
    <row r="247" spans="2:7" ht="38.1" customHeight="1">
      <c r="B247" s="444"/>
      <c r="C247" s="444"/>
      <c r="D247" s="444"/>
      <c r="E247" s="444"/>
      <c r="F247" s="444"/>
      <c r="G247" s="444"/>
    </row>
    <row r="248" spans="2:7" ht="38.1" customHeight="1"/>
    <row r="249" spans="2:7" ht="38.1" customHeight="1"/>
    <row r="250" spans="2:7" ht="38.1" customHeight="1"/>
    <row r="251" spans="2:7" ht="38.1" customHeight="1"/>
    <row r="252" spans="2:7" ht="38.1" customHeight="1"/>
    <row r="253" spans="2:7" ht="38.1" customHeight="1"/>
    <row r="254" spans="2:7" ht="38.1" customHeight="1"/>
    <row r="255" spans="2:7" ht="38.1" customHeight="1"/>
    <row r="256" spans="2:7" ht="38.1" customHeight="1"/>
    <row r="257" ht="38.1" customHeight="1"/>
    <row r="258" ht="38.1" customHeight="1"/>
    <row r="259" ht="38.1" customHeight="1"/>
    <row r="260" ht="38.1" customHeight="1"/>
    <row r="261" ht="38.1" customHeight="1"/>
    <row r="262" ht="38.1" customHeight="1"/>
    <row r="263" ht="38.1" customHeight="1"/>
    <row r="264" ht="38.1" customHeight="1"/>
    <row r="265" ht="38.1" customHeight="1"/>
    <row r="266" ht="38.1" customHeight="1"/>
    <row r="267" ht="38.1" customHeight="1"/>
    <row r="268" ht="38.1" customHeight="1"/>
    <row r="269" ht="38.1" customHeight="1"/>
    <row r="270" ht="38.1" customHeight="1"/>
    <row r="271" ht="38.1" customHeight="1"/>
    <row r="272" ht="38.1" customHeight="1"/>
    <row r="273" ht="38.1" customHeight="1"/>
    <row r="274" ht="38.1" customHeight="1"/>
    <row r="275" ht="38.1" customHeight="1"/>
    <row r="276" ht="38.1" customHeight="1"/>
    <row r="277" ht="38.1" customHeight="1"/>
    <row r="278" ht="38.1" customHeight="1"/>
    <row r="279" ht="38.1" customHeight="1"/>
    <row r="280" ht="38.1" customHeight="1"/>
    <row r="281" ht="38.1" customHeight="1"/>
    <row r="282" ht="38.1" customHeight="1"/>
    <row r="283" ht="38.1" customHeight="1"/>
    <row r="284" ht="38.1" customHeight="1"/>
    <row r="285" ht="38.1" customHeight="1"/>
    <row r="286" ht="38.1" customHeight="1"/>
    <row r="287" ht="38.1" customHeight="1"/>
    <row r="288" ht="38.1" customHeight="1"/>
    <row r="289" ht="38.1" customHeight="1"/>
    <row r="290" ht="38.1" customHeight="1"/>
    <row r="291" ht="38.1" customHeight="1"/>
    <row r="292" ht="38.1" customHeight="1"/>
    <row r="293" ht="38.1" customHeight="1"/>
    <row r="294" ht="38.1" customHeight="1"/>
    <row r="295" ht="38.1" customHeight="1"/>
    <row r="296" ht="38.1" customHeight="1"/>
    <row r="297" ht="38.1" customHeight="1"/>
    <row r="298" ht="38.1" customHeight="1"/>
    <row r="299" ht="38.1" customHeight="1"/>
    <row r="300" ht="38.1" customHeight="1"/>
    <row r="301" ht="38.1" customHeight="1"/>
    <row r="302" ht="38.1" customHeight="1"/>
    <row r="303" ht="38.1" customHeight="1"/>
    <row r="304" ht="38.1" customHeight="1"/>
    <row r="305" ht="38.1" customHeight="1"/>
    <row r="306" ht="38.1" customHeight="1"/>
    <row r="307" ht="38.1" customHeight="1"/>
    <row r="308" ht="38.1" customHeight="1"/>
    <row r="309" ht="38.1" customHeight="1"/>
    <row r="310" ht="38.1" customHeight="1"/>
    <row r="311" ht="38.1" customHeight="1"/>
    <row r="312" ht="38.1" customHeight="1"/>
    <row r="313" ht="38.1" customHeight="1"/>
    <row r="314" ht="38.1" customHeight="1"/>
    <row r="315" ht="38.1" customHeight="1"/>
    <row r="316" ht="38.1" customHeight="1"/>
    <row r="317" ht="38.1" customHeight="1"/>
    <row r="318" ht="38.1" customHeight="1"/>
    <row r="319" ht="38.1" customHeight="1"/>
    <row r="320" ht="38.1" customHeight="1"/>
    <row r="321" ht="38.1" customHeight="1"/>
    <row r="322" ht="38.1" customHeight="1"/>
    <row r="323" ht="38.1" customHeight="1"/>
    <row r="324" ht="38.1" customHeight="1"/>
    <row r="325" ht="38.1" customHeight="1"/>
    <row r="326" ht="38.1" customHeight="1"/>
    <row r="327" ht="38.1" customHeight="1"/>
    <row r="328" ht="38.1" customHeight="1"/>
    <row r="329" ht="38.1" customHeight="1"/>
    <row r="330" ht="38.1" customHeight="1"/>
    <row r="331" ht="38.1" customHeight="1"/>
    <row r="332" ht="38.1" customHeight="1"/>
    <row r="333" ht="38.1" customHeight="1"/>
    <row r="334" ht="38.1" customHeight="1"/>
    <row r="335" ht="38.1" customHeight="1"/>
    <row r="336" ht="38.1" customHeight="1"/>
    <row r="337" ht="38.1" customHeight="1"/>
    <row r="338" ht="38.1" customHeight="1"/>
    <row r="339" ht="38.1" customHeight="1"/>
    <row r="340" ht="38.1" customHeight="1"/>
    <row r="341" ht="38.1" customHeight="1"/>
    <row r="342" ht="38.1" customHeight="1"/>
    <row r="343" ht="38.1" customHeight="1"/>
    <row r="344" ht="38.1" customHeight="1"/>
    <row r="345" ht="38.1" customHeight="1"/>
    <row r="346" ht="38.1" customHeight="1"/>
    <row r="347" ht="38.1" customHeight="1"/>
    <row r="348" ht="38.1" customHeight="1"/>
    <row r="349" ht="38.1" customHeight="1"/>
    <row r="350" ht="38.1" customHeight="1"/>
    <row r="351" ht="38.1" customHeight="1"/>
    <row r="352" ht="38.1" customHeight="1"/>
    <row r="353" ht="38.1" customHeight="1"/>
    <row r="354" ht="38.1" customHeight="1"/>
    <row r="355" ht="38.1" customHeight="1"/>
    <row r="356" ht="38.1" customHeight="1"/>
    <row r="357" ht="38.1" customHeight="1"/>
    <row r="358" ht="38.1" customHeight="1"/>
    <row r="359" ht="38.1" customHeight="1"/>
    <row r="360" ht="38.1" customHeight="1"/>
    <row r="361" ht="38.1" customHeight="1"/>
    <row r="362" ht="38.1" customHeight="1"/>
    <row r="363" ht="38.1" customHeight="1"/>
    <row r="364" ht="38.1" customHeight="1"/>
    <row r="365" ht="38.1" customHeight="1"/>
    <row r="366" ht="38.1" customHeight="1"/>
    <row r="367" ht="38.1" customHeight="1"/>
    <row r="368" ht="38.1" customHeight="1"/>
    <row r="369" ht="38.1" customHeight="1"/>
    <row r="370" ht="38.1" customHeight="1"/>
    <row r="371" ht="38.1" customHeight="1"/>
    <row r="372" ht="38.1" customHeight="1"/>
    <row r="373" ht="38.1" customHeight="1"/>
    <row r="374" ht="38.1" customHeight="1"/>
    <row r="375" ht="38.1" customHeight="1"/>
    <row r="376" ht="38.1" customHeight="1"/>
    <row r="377" ht="38.1" customHeight="1"/>
    <row r="378" ht="38.1" customHeight="1"/>
    <row r="379" ht="38.1" customHeight="1"/>
    <row r="380" ht="38.1" customHeight="1"/>
    <row r="381" ht="38.1" customHeight="1"/>
    <row r="382" ht="38.1" customHeight="1"/>
    <row r="383" ht="38.1" customHeight="1"/>
    <row r="384" ht="38.1" customHeight="1"/>
    <row r="385" ht="38.1" customHeight="1"/>
    <row r="386" ht="38.1" customHeight="1"/>
    <row r="387" ht="38.1" customHeight="1"/>
    <row r="388" ht="38.1" customHeight="1"/>
    <row r="389" ht="38.1" customHeight="1"/>
    <row r="390" ht="38.1" customHeight="1"/>
    <row r="391" ht="38.1" customHeight="1"/>
    <row r="392" ht="38.1" customHeight="1"/>
    <row r="393" ht="38.1" customHeight="1"/>
    <row r="394" ht="38.1" customHeight="1"/>
    <row r="395" ht="38.1" customHeight="1"/>
    <row r="396" ht="38.1" customHeight="1"/>
    <row r="397" ht="38.1" customHeight="1"/>
    <row r="398" ht="38.1" customHeight="1"/>
    <row r="399" ht="38.1" customHeight="1"/>
    <row r="400" ht="38.1" customHeight="1"/>
    <row r="401" ht="38.1" customHeight="1"/>
    <row r="402" ht="38.1" customHeight="1"/>
    <row r="403" ht="38.1" customHeight="1"/>
    <row r="404" ht="38.1" customHeight="1"/>
    <row r="405" ht="38.1" customHeight="1"/>
    <row r="406" ht="38.1" customHeight="1"/>
    <row r="407" ht="38.1" customHeight="1"/>
    <row r="408" ht="38.1" customHeight="1"/>
    <row r="409" ht="38.1" customHeight="1"/>
    <row r="410" ht="38.1" customHeight="1"/>
    <row r="411" ht="38.1" customHeight="1"/>
    <row r="412" ht="38.1" customHeight="1"/>
    <row r="413" ht="38.1" customHeight="1"/>
    <row r="414" ht="38.1" customHeight="1"/>
    <row r="415" ht="38.1" customHeight="1"/>
    <row r="416" ht="38.1" customHeight="1"/>
    <row r="417" ht="38.1" customHeight="1"/>
    <row r="418" ht="38.1" customHeight="1"/>
    <row r="419" ht="38.1" customHeight="1"/>
    <row r="420" ht="38.1" customHeight="1"/>
    <row r="421" ht="38.1" customHeight="1"/>
    <row r="422" ht="38.1" customHeight="1"/>
    <row r="423" ht="38.1" customHeight="1"/>
    <row r="424" ht="38.1" customHeight="1"/>
    <row r="425" ht="38.1" customHeight="1"/>
    <row r="426" ht="38.1" customHeight="1"/>
    <row r="427" ht="38.1" customHeight="1"/>
    <row r="428" ht="38.1" customHeight="1"/>
    <row r="429" ht="38.1" customHeight="1"/>
    <row r="430" ht="38.1" customHeight="1"/>
    <row r="431" ht="38.1" customHeight="1"/>
    <row r="432" ht="38.1" customHeight="1"/>
    <row r="433" ht="38.1" customHeight="1"/>
    <row r="434" ht="38.1" customHeight="1"/>
  </sheetData>
  <sheetProtection sheet="1" objects="1" scenarios="1" selectLockedCells="1"/>
  <printOptions horizontalCentered="1" verticalCentered="1"/>
  <pageMargins left="0.5" right="0" top="0.5" bottom="0.5" header="0" footer="0"/>
  <pageSetup scale="51" orientation="landscape" horizontalDpi="4294967293" r:id="rId1"/>
  <rowBreaks count="3" manualBreakCount="3">
    <brk id="29" min="1" max="6" man="1"/>
    <brk id="57" min="1" max="6" man="1"/>
    <brk id="134" min="1" max="6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J179"/>
  <sheetViews>
    <sheetView topLeftCell="A28" zoomScaleNormal="100" workbookViewId="0">
      <selection activeCell="I4" sqref="I4"/>
    </sheetView>
  </sheetViews>
  <sheetFormatPr defaultColWidth="8.85546875" defaultRowHeight="18"/>
  <cols>
    <col min="1" max="1" width="5.7109375" style="247" customWidth="1"/>
    <col min="2" max="2" width="24.7109375" style="247" bestFit="1" customWidth="1"/>
    <col min="3" max="3" width="27.28515625" style="247" bestFit="1" customWidth="1"/>
    <col min="4" max="4" width="8.85546875" style="247"/>
    <col min="5" max="5" width="7.7109375" style="247" bestFit="1" customWidth="1"/>
    <col min="6" max="6" width="7.85546875" style="247" bestFit="1" customWidth="1"/>
    <col min="7" max="9" width="8.85546875" style="247"/>
    <col min="10" max="10" width="4.28515625" style="256" bestFit="1" customWidth="1"/>
    <col min="11" max="11" width="7.7109375" style="247" customWidth="1"/>
    <col min="12" max="13" width="8.7109375" style="247" customWidth="1"/>
    <col min="14" max="14" width="4.28515625" style="247" bestFit="1" customWidth="1"/>
    <col min="15" max="15" width="10.85546875" style="377" customWidth="1"/>
    <col min="16" max="16384" width="8.85546875" style="247"/>
  </cols>
  <sheetData>
    <row r="1" spans="1:36">
      <c r="A1" s="254"/>
      <c r="B1" s="512" t="s">
        <v>236</v>
      </c>
      <c r="C1" s="254"/>
      <c r="D1" s="254"/>
      <c r="E1" s="254"/>
      <c r="F1" s="254"/>
      <c r="G1" s="254"/>
      <c r="H1" s="254"/>
      <c r="I1" s="254"/>
      <c r="J1" s="378"/>
      <c r="K1" s="378"/>
      <c r="L1" s="378"/>
      <c r="M1" s="254"/>
      <c r="N1" s="254"/>
      <c r="P1" s="254"/>
      <c r="Q1" s="254"/>
      <c r="R1" s="508"/>
      <c r="S1" s="508"/>
      <c r="T1" s="509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</row>
    <row r="2" spans="1:36">
      <c r="A2" s="254"/>
      <c r="B2" s="254" t="s">
        <v>237</v>
      </c>
      <c r="C2" s="254"/>
      <c r="D2" s="254"/>
      <c r="E2" s="254"/>
      <c r="F2" s="254"/>
      <c r="G2" s="254"/>
      <c r="H2" s="254"/>
      <c r="I2" s="254"/>
      <c r="J2" s="378"/>
      <c r="K2" s="378"/>
      <c r="L2" s="383"/>
      <c r="M2" s="254"/>
      <c r="N2" s="254"/>
      <c r="P2" s="254"/>
      <c r="Q2" s="254"/>
      <c r="R2" s="508"/>
      <c r="S2" s="508"/>
      <c r="T2" s="510"/>
      <c r="U2" s="254"/>
      <c r="V2" s="254"/>
      <c r="W2" s="254"/>
      <c r="X2" s="254"/>
      <c r="Y2" s="254"/>
      <c r="Z2" s="254"/>
      <c r="AA2" s="254"/>
      <c r="AB2" s="254"/>
      <c r="AC2" s="254"/>
      <c r="AD2" s="254"/>
      <c r="AE2" s="254"/>
      <c r="AF2" s="254"/>
      <c r="AG2" s="254"/>
      <c r="AH2" s="254"/>
      <c r="AI2" s="254"/>
      <c r="AJ2" s="254"/>
    </row>
    <row r="3" spans="1:36">
      <c r="A3" s="254"/>
      <c r="B3" s="254"/>
      <c r="C3" s="254"/>
      <c r="D3" s="254"/>
      <c r="E3" s="254"/>
      <c r="F3" s="254"/>
      <c r="G3" s="254"/>
      <c r="H3" s="254"/>
      <c r="I3" s="254"/>
      <c r="J3" s="378"/>
      <c r="K3" s="378"/>
      <c r="L3" s="383"/>
      <c r="M3" s="254"/>
      <c r="N3" s="254"/>
      <c r="P3" s="254"/>
      <c r="Q3" s="254"/>
      <c r="R3" s="508"/>
      <c r="S3" s="508"/>
      <c r="T3" s="510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</row>
    <row r="4" spans="1:36">
      <c r="A4" s="254"/>
      <c r="B4" s="254" t="s">
        <v>209</v>
      </c>
      <c r="C4" s="254"/>
      <c r="D4" s="254"/>
      <c r="E4" s="254"/>
      <c r="F4" s="254"/>
      <c r="G4" s="254"/>
      <c r="H4" s="254"/>
      <c r="I4" s="254"/>
      <c r="J4" s="378"/>
      <c r="K4" s="254"/>
      <c r="L4" s="254"/>
      <c r="M4" s="254"/>
      <c r="N4" s="254"/>
      <c r="P4" s="511"/>
      <c r="Q4" s="254"/>
      <c r="R4" s="508"/>
      <c r="S4" s="508"/>
      <c r="T4" s="510"/>
      <c r="U4" s="254"/>
      <c r="V4" s="254"/>
      <c r="W4" s="254"/>
      <c r="X4" s="254"/>
      <c r="Y4" s="254"/>
      <c r="Z4" s="254"/>
      <c r="AA4" s="254"/>
      <c r="AB4" s="254"/>
      <c r="AC4" s="254"/>
      <c r="AD4" s="254"/>
      <c r="AE4" s="254"/>
      <c r="AF4" s="254"/>
      <c r="AG4" s="254"/>
      <c r="AH4" s="254"/>
      <c r="AI4" s="254"/>
      <c r="AJ4" s="254"/>
    </row>
    <row r="5" spans="1:36">
      <c r="A5" s="254"/>
      <c r="B5" s="512" t="s">
        <v>210</v>
      </c>
      <c r="C5" s="254"/>
      <c r="D5" s="254"/>
      <c r="E5" s="254"/>
      <c r="F5" s="254"/>
      <c r="G5" s="254"/>
      <c r="H5" s="254"/>
      <c r="I5" s="254"/>
      <c r="J5" s="378"/>
      <c r="K5" s="254"/>
      <c r="L5" s="254"/>
      <c r="M5" s="254"/>
      <c r="N5" s="254"/>
      <c r="P5" s="511"/>
      <c r="Q5" s="254"/>
      <c r="R5" s="508"/>
      <c r="S5" s="508"/>
      <c r="T5" s="510"/>
      <c r="U5" s="254"/>
      <c r="V5" s="254"/>
      <c r="W5" s="254"/>
      <c r="X5" s="254"/>
      <c r="Y5" s="254"/>
      <c r="Z5" s="254"/>
      <c r="AA5" s="254"/>
      <c r="AB5" s="254"/>
      <c r="AC5" s="254"/>
      <c r="AD5" s="254"/>
      <c r="AE5" s="254"/>
      <c r="AF5" s="254"/>
      <c r="AG5" s="254"/>
      <c r="AH5" s="254"/>
      <c r="AI5" s="254"/>
      <c r="AJ5" s="254"/>
    </row>
    <row r="6" spans="1:36">
      <c r="A6" s="254"/>
      <c r="B6" s="254" t="s">
        <v>211</v>
      </c>
      <c r="C6" s="254"/>
      <c r="D6" s="254"/>
      <c r="E6" s="254"/>
      <c r="F6" s="254"/>
      <c r="G6" s="254"/>
      <c r="H6" s="254"/>
      <c r="I6" s="254"/>
      <c r="J6" s="378"/>
      <c r="K6" s="254"/>
      <c r="L6" s="254"/>
      <c r="M6" s="254"/>
      <c r="N6" s="254"/>
      <c r="P6" s="511"/>
      <c r="Q6" s="254"/>
      <c r="R6" s="508"/>
      <c r="S6" s="508"/>
      <c r="T6" s="510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54"/>
      <c r="AG6" s="254"/>
      <c r="AH6" s="254"/>
      <c r="AI6" s="254"/>
      <c r="AJ6" s="254"/>
    </row>
    <row r="7" spans="1:36">
      <c r="A7" s="254"/>
      <c r="B7" s="254" t="s">
        <v>212</v>
      </c>
      <c r="C7" s="254"/>
      <c r="D7" s="254"/>
      <c r="E7" s="254"/>
      <c r="F7" s="254"/>
      <c r="G7" s="254"/>
      <c r="H7" s="254"/>
      <c r="I7" s="254"/>
      <c r="J7" s="378"/>
      <c r="K7" s="254"/>
      <c r="L7" s="254"/>
      <c r="M7" s="254"/>
      <c r="N7" s="254"/>
      <c r="P7" s="511"/>
      <c r="Q7" s="254"/>
      <c r="R7" s="508"/>
      <c r="S7" s="508"/>
      <c r="T7" s="510"/>
      <c r="U7" s="254"/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</row>
    <row r="8" spans="1:36">
      <c r="A8" s="254"/>
      <c r="B8" s="254" t="s">
        <v>238</v>
      </c>
      <c r="D8" s="254"/>
      <c r="E8" s="254"/>
      <c r="F8" s="254"/>
      <c r="G8" s="254"/>
      <c r="H8" s="254"/>
      <c r="I8" s="254"/>
      <c r="J8" s="378"/>
      <c r="K8" s="254"/>
      <c r="L8" s="512"/>
      <c r="M8" s="254"/>
      <c r="N8" s="254"/>
      <c r="P8" s="511"/>
      <c r="Q8" s="254"/>
      <c r="R8" s="508"/>
      <c r="S8" s="508"/>
      <c r="T8" s="510"/>
      <c r="U8" s="254"/>
      <c r="V8" s="254"/>
      <c r="W8" s="254"/>
      <c r="X8" s="254"/>
      <c r="Y8" s="254"/>
      <c r="Z8" s="254"/>
      <c r="AA8" s="254"/>
      <c r="AB8" s="254"/>
      <c r="AC8" s="254"/>
      <c r="AD8" s="254"/>
      <c r="AE8" s="254"/>
      <c r="AF8" s="254"/>
      <c r="AG8" s="254"/>
      <c r="AH8" s="254"/>
      <c r="AI8" s="254"/>
      <c r="AJ8" s="254"/>
    </row>
    <row r="9" spans="1:36">
      <c r="A9" s="254"/>
      <c r="B9" s="254" t="s">
        <v>217</v>
      </c>
      <c r="C9" s="254"/>
      <c r="D9" s="254"/>
      <c r="E9" s="254"/>
      <c r="F9" s="254"/>
      <c r="G9" s="254"/>
      <c r="H9" s="254"/>
      <c r="I9" s="254"/>
      <c r="J9" s="378"/>
      <c r="K9" s="254"/>
      <c r="L9" s="378"/>
      <c r="M9" s="254"/>
      <c r="N9" s="254"/>
      <c r="P9" s="511"/>
      <c r="Q9" s="254"/>
      <c r="R9" s="508"/>
      <c r="S9" s="508"/>
      <c r="T9" s="510"/>
      <c r="U9" s="254"/>
      <c r="V9" s="254"/>
      <c r="W9" s="254"/>
      <c r="X9" s="254"/>
      <c r="Y9" s="254"/>
      <c r="Z9" s="254"/>
      <c r="AA9" s="254"/>
      <c r="AB9" s="254"/>
      <c r="AC9" s="254"/>
      <c r="AD9" s="254"/>
      <c r="AE9" s="254"/>
      <c r="AF9" s="254"/>
      <c r="AG9" s="254"/>
      <c r="AH9" s="254"/>
      <c r="AI9" s="254"/>
      <c r="AJ9" s="254"/>
    </row>
    <row r="10" spans="1:36">
      <c r="A10" s="254"/>
      <c r="B10" s="254" t="s">
        <v>218</v>
      </c>
      <c r="D10" s="254"/>
      <c r="E10" s="254"/>
      <c r="F10" s="254"/>
      <c r="G10" s="254"/>
      <c r="H10" s="254"/>
      <c r="I10" s="254"/>
      <c r="J10" s="378"/>
      <c r="K10" s="513"/>
      <c r="L10" s="510"/>
      <c r="M10" s="254"/>
      <c r="N10" s="254"/>
      <c r="P10" s="511"/>
      <c r="Q10" s="254"/>
      <c r="R10" s="508"/>
      <c r="S10" s="508"/>
      <c r="T10" s="510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H10" s="254"/>
      <c r="AI10" s="254"/>
      <c r="AJ10" s="254"/>
    </row>
    <row r="11" spans="1:36">
      <c r="A11" s="254"/>
      <c r="B11" s="254" t="s">
        <v>219</v>
      </c>
      <c r="C11" s="254"/>
      <c r="D11" s="254"/>
      <c r="E11" s="254"/>
      <c r="F11" s="254"/>
      <c r="G11" s="254"/>
      <c r="H11" s="254"/>
      <c r="I11" s="254"/>
      <c r="J11" s="378"/>
      <c r="K11" s="513"/>
      <c r="L11" s="510"/>
      <c r="M11" s="254"/>
      <c r="N11" s="254"/>
      <c r="P11" s="511"/>
      <c r="Q11" s="254"/>
      <c r="R11" s="508"/>
      <c r="S11" s="508"/>
      <c r="T11" s="510"/>
      <c r="U11" s="254"/>
      <c r="V11" s="254"/>
      <c r="W11" s="254"/>
      <c r="X11" s="254"/>
      <c r="Y11" s="254"/>
      <c r="Z11" s="254"/>
      <c r="AA11" s="254"/>
      <c r="AB11" s="254"/>
      <c r="AC11" s="254"/>
      <c r="AD11" s="254"/>
      <c r="AE11" s="254"/>
      <c r="AF11" s="254"/>
      <c r="AG11" s="254"/>
      <c r="AH11" s="254"/>
      <c r="AI11" s="254"/>
      <c r="AJ11" s="254"/>
    </row>
    <row r="12" spans="1:36">
      <c r="A12" s="254"/>
      <c r="B12" s="254" t="s">
        <v>213</v>
      </c>
      <c r="C12" s="254"/>
      <c r="D12" s="254"/>
      <c r="E12" s="254"/>
      <c r="F12" s="254"/>
      <c r="G12" s="254"/>
      <c r="H12" s="254"/>
      <c r="I12" s="254"/>
      <c r="J12" s="378"/>
      <c r="K12" s="513"/>
      <c r="L12" s="510"/>
      <c r="M12" s="254"/>
      <c r="N12" s="254"/>
      <c r="P12" s="511"/>
      <c r="Q12" s="254"/>
      <c r="R12" s="508"/>
      <c r="S12" s="508"/>
      <c r="T12" s="510"/>
      <c r="U12" s="254"/>
      <c r="V12" s="254"/>
      <c r="W12" s="254"/>
      <c r="X12" s="254"/>
      <c r="Y12" s="254"/>
      <c r="Z12" s="254"/>
      <c r="AA12" s="254"/>
      <c r="AB12" s="254"/>
      <c r="AC12" s="254"/>
      <c r="AD12" s="254"/>
      <c r="AE12" s="254"/>
      <c r="AF12" s="254"/>
      <c r="AG12" s="254"/>
      <c r="AH12" s="254"/>
      <c r="AI12" s="254"/>
      <c r="AJ12" s="254"/>
    </row>
    <row r="13" spans="1:36">
      <c r="A13" s="254"/>
      <c r="B13" s="254"/>
      <c r="C13" s="254"/>
      <c r="D13" s="254"/>
      <c r="E13" s="254"/>
      <c r="F13" s="254"/>
      <c r="G13" s="254"/>
      <c r="H13" s="254"/>
      <c r="I13" s="254"/>
      <c r="J13" s="378"/>
      <c r="K13" s="513"/>
      <c r="L13" s="510"/>
      <c r="M13" s="254"/>
      <c r="N13" s="254"/>
      <c r="P13" s="511"/>
      <c r="Q13" s="254"/>
      <c r="R13" s="508"/>
      <c r="S13" s="508"/>
      <c r="T13" s="510"/>
      <c r="U13" s="254"/>
      <c r="V13" s="254"/>
      <c r="W13" s="254"/>
      <c r="X13" s="254"/>
      <c r="Y13" s="254"/>
      <c r="Z13" s="254"/>
      <c r="AA13" s="254"/>
      <c r="AB13" s="254"/>
      <c r="AC13" s="254"/>
      <c r="AD13" s="254"/>
      <c r="AE13" s="254"/>
      <c r="AF13" s="254"/>
      <c r="AG13" s="254"/>
      <c r="AH13" s="254"/>
      <c r="AI13" s="254"/>
      <c r="AJ13" s="254"/>
    </row>
    <row r="14" spans="1:36">
      <c r="A14" s="254"/>
      <c r="B14" s="254" t="s">
        <v>220</v>
      </c>
      <c r="C14" s="254"/>
      <c r="D14" s="254"/>
      <c r="E14" s="254"/>
      <c r="F14" s="254"/>
      <c r="G14" s="254"/>
      <c r="H14" s="254"/>
      <c r="I14" s="254"/>
      <c r="J14" s="378"/>
      <c r="K14" s="513"/>
      <c r="L14" s="510"/>
      <c r="M14" s="254"/>
      <c r="N14" s="254"/>
      <c r="P14" s="511"/>
      <c r="Q14" s="254"/>
      <c r="R14" s="508"/>
      <c r="S14" s="508"/>
      <c r="T14" s="510"/>
      <c r="U14" s="254"/>
      <c r="V14" s="254"/>
      <c r="W14" s="254"/>
      <c r="X14" s="254"/>
      <c r="Y14" s="254"/>
      <c r="Z14" s="254"/>
      <c r="AA14" s="254"/>
      <c r="AB14" s="254"/>
      <c r="AC14" s="254"/>
      <c r="AD14" s="254"/>
      <c r="AE14" s="254"/>
      <c r="AF14" s="254"/>
      <c r="AG14" s="254"/>
      <c r="AH14" s="254"/>
      <c r="AI14" s="254"/>
      <c r="AJ14" s="254"/>
    </row>
    <row r="15" spans="1:36">
      <c r="A15" s="254"/>
      <c r="B15" s="254" t="s">
        <v>207</v>
      </c>
      <c r="C15" s="254"/>
      <c r="D15" s="254"/>
      <c r="E15" s="254"/>
      <c r="F15" s="254"/>
      <c r="G15" s="254"/>
      <c r="H15" s="254"/>
      <c r="I15" s="254"/>
      <c r="J15" s="378"/>
      <c r="K15" s="513"/>
      <c r="L15" s="510"/>
      <c r="M15" s="254"/>
      <c r="N15" s="254"/>
      <c r="P15" s="511"/>
      <c r="Q15" s="254"/>
      <c r="R15" s="508"/>
      <c r="S15" s="508"/>
      <c r="T15" s="510"/>
      <c r="U15" s="254"/>
      <c r="V15" s="254"/>
      <c r="W15" s="254"/>
      <c r="X15" s="254"/>
      <c r="Y15" s="254"/>
      <c r="Z15" s="254"/>
      <c r="AA15" s="254"/>
      <c r="AB15" s="254"/>
      <c r="AC15" s="254"/>
      <c r="AD15" s="254"/>
      <c r="AE15" s="254"/>
      <c r="AF15" s="254"/>
      <c r="AG15" s="254"/>
      <c r="AH15" s="254"/>
      <c r="AI15" s="254"/>
      <c r="AJ15" s="254"/>
    </row>
    <row r="16" spans="1:36">
      <c r="A16" s="254"/>
      <c r="B16" s="512" t="s">
        <v>214</v>
      </c>
      <c r="C16" s="254"/>
      <c r="D16" s="254"/>
      <c r="E16" s="254"/>
      <c r="F16" s="254"/>
      <c r="G16" s="254"/>
      <c r="H16" s="254"/>
      <c r="I16" s="254"/>
      <c r="J16" s="378"/>
      <c r="K16" s="513"/>
      <c r="L16" s="510"/>
      <c r="M16" s="254"/>
      <c r="N16" s="254"/>
      <c r="P16" s="511"/>
      <c r="Q16" s="254"/>
      <c r="R16" s="508"/>
      <c r="S16" s="508"/>
      <c r="T16" s="510"/>
      <c r="U16" s="254"/>
      <c r="V16" s="254"/>
      <c r="W16" s="254"/>
      <c r="X16" s="254"/>
      <c r="Y16" s="254"/>
      <c r="Z16" s="254"/>
      <c r="AA16" s="254"/>
      <c r="AB16" s="254"/>
      <c r="AC16" s="254"/>
      <c r="AD16" s="254"/>
      <c r="AE16" s="254"/>
      <c r="AF16" s="254"/>
      <c r="AG16" s="254"/>
      <c r="AH16" s="254"/>
      <c r="AI16" s="254"/>
      <c r="AJ16" s="254"/>
    </row>
    <row r="17" spans="1:36">
      <c r="A17" s="254"/>
      <c r="B17" s="254" t="s">
        <v>215</v>
      </c>
      <c r="C17" s="254"/>
      <c r="D17" s="254"/>
      <c r="E17" s="254"/>
      <c r="F17" s="254"/>
      <c r="G17" s="254"/>
      <c r="H17" s="254"/>
      <c r="I17" s="254"/>
      <c r="J17" s="378"/>
      <c r="K17" s="513"/>
      <c r="L17" s="510"/>
      <c r="M17" s="254"/>
      <c r="N17" s="254"/>
      <c r="P17" s="511"/>
      <c r="Q17" s="254"/>
      <c r="R17" s="508"/>
      <c r="S17" s="508"/>
      <c r="T17" s="510"/>
      <c r="U17" s="254"/>
      <c r="V17" s="254"/>
      <c r="W17" s="254"/>
      <c r="X17" s="254"/>
      <c r="Y17" s="254"/>
      <c r="Z17" s="254"/>
      <c r="AA17" s="254"/>
      <c r="AB17" s="254"/>
      <c r="AC17" s="254"/>
      <c r="AD17" s="254"/>
      <c r="AE17" s="254"/>
      <c r="AF17" s="254"/>
      <c r="AG17" s="254"/>
      <c r="AH17" s="254"/>
      <c r="AI17" s="254"/>
      <c r="AJ17" s="254"/>
    </row>
    <row r="18" spans="1:36">
      <c r="A18" s="254"/>
      <c r="B18" s="254" t="s">
        <v>254</v>
      </c>
      <c r="C18" s="254"/>
      <c r="D18" s="254"/>
      <c r="E18" s="254"/>
      <c r="F18" s="254"/>
      <c r="G18" s="254"/>
      <c r="H18" s="254"/>
      <c r="I18" s="254"/>
      <c r="J18" s="378"/>
      <c r="K18" s="513"/>
      <c r="L18" s="510"/>
      <c r="M18" s="254"/>
      <c r="N18" s="254"/>
      <c r="P18" s="511"/>
      <c r="Q18" s="254"/>
      <c r="R18" s="508"/>
      <c r="S18" s="508"/>
      <c r="T18" s="510"/>
      <c r="U18" s="254"/>
      <c r="V18" s="254"/>
      <c r="W18" s="254"/>
      <c r="X18" s="254"/>
      <c r="Y18" s="254"/>
      <c r="Z18" s="254"/>
      <c r="AA18" s="254"/>
      <c r="AB18" s="254"/>
      <c r="AC18" s="254"/>
      <c r="AD18" s="254"/>
      <c r="AE18" s="254"/>
      <c r="AF18" s="254"/>
      <c r="AG18" s="254"/>
      <c r="AH18" s="254"/>
      <c r="AI18" s="254"/>
      <c r="AJ18" s="254"/>
    </row>
    <row r="19" spans="1:36">
      <c r="A19" s="254"/>
      <c r="B19" s="254" t="s">
        <v>196</v>
      </c>
      <c r="C19" s="254"/>
      <c r="D19" s="254"/>
      <c r="E19" s="254"/>
      <c r="F19" s="254"/>
      <c r="G19" s="254"/>
      <c r="H19" s="254"/>
      <c r="I19" s="254"/>
      <c r="J19" s="378"/>
      <c r="K19" s="513"/>
      <c r="L19" s="510"/>
      <c r="M19" s="254"/>
      <c r="N19" s="254"/>
      <c r="P19" s="511"/>
      <c r="Q19" s="254"/>
      <c r="R19" s="508"/>
      <c r="S19" s="508"/>
      <c r="T19" s="510"/>
      <c r="U19" s="254"/>
      <c r="V19" s="254"/>
      <c r="W19" s="254"/>
      <c r="X19" s="254"/>
      <c r="Y19" s="254"/>
      <c r="Z19" s="254"/>
      <c r="AA19" s="254"/>
      <c r="AB19" s="254"/>
      <c r="AC19" s="254"/>
      <c r="AD19" s="254"/>
      <c r="AE19" s="254"/>
      <c r="AF19" s="254"/>
      <c r="AG19" s="254"/>
      <c r="AH19" s="254"/>
      <c r="AI19" s="254"/>
      <c r="AJ19" s="254"/>
    </row>
    <row r="20" spans="1:36">
      <c r="A20" s="254"/>
      <c r="C20" s="254"/>
      <c r="D20" s="254"/>
      <c r="E20" s="254"/>
      <c r="F20" s="254"/>
      <c r="G20" s="254"/>
      <c r="H20" s="254"/>
      <c r="I20" s="254"/>
      <c r="J20" s="378"/>
      <c r="K20" s="513"/>
      <c r="L20" s="510"/>
      <c r="M20" s="254"/>
      <c r="N20" s="254"/>
      <c r="P20" s="511"/>
      <c r="Q20" s="254"/>
      <c r="R20" s="508"/>
      <c r="S20" s="508"/>
      <c r="T20" s="510"/>
      <c r="U20" s="254"/>
      <c r="V20" s="254"/>
      <c r="W20" s="254"/>
      <c r="X20" s="254"/>
      <c r="Y20" s="254"/>
      <c r="Z20" s="254"/>
      <c r="AA20" s="254"/>
      <c r="AB20" s="254"/>
      <c r="AC20" s="254"/>
      <c r="AD20" s="254"/>
      <c r="AE20" s="254"/>
      <c r="AF20" s="254"/>
      <c r="AG20" s="254"/>
      <c r="AH20" s="254"/>
      <c r="AI20" s="254"/>
      <c r="AJ20" s="254"/>
    </row>
    <row r="21" spans="1:36">
      <c r="A21" s="254"/>
      <c r="B21" s="247" t="s">
        <v>239</v>
      </c>
      <c r="C21" s="254"/>
      <c r="D21" s="254"/>
      <c r="E21" s="254"/>
      <c r="F21" s="254"/>
      <c r="G21" s="254"/>
      <c r="H21" s="254"/>
      <c r="I21" s="254"/>
      <c r="J21" s="378"/>
      <c r="K21" s="513"/>
      <c r="L21" s="510"/>
      <c r="M21" s="254"/>
      <c r="N21" s="254"/>
      <c r="P21" s="511"/>
      <c r="Q21" s="254"/>
      <c r="R21" s="508"/>
      <c r="S21" s="508"/>
      <c r="T21" s="510"/>
      <c r="U21" s="254"/>
      <c r="V21" s="254"/>
      <c r="W21" s="254"/>
      <c r="X21" s="254"/>
      <c r="Y21" s="254"/>
      <c r="Z21" s="254"/>
      <c r="AA21" s="254"/>
      <c r="AB21" s="254"/>
      <c r="AC21" s="254"/>
      <c r="AD21" s="254"/>
      <c r="AE21" s="254"/>
      <c r="AF21" s="254"/>
      <c r="AG21" s="254"/>
      <c r="AH21" s="254"/>
      <c r="AI21" s="254"/>
      <c r="AJ21" s="254"/>
    </row>
    <row r="22" spans="1:36">
      <c r="A22" s="254"/>
      <c r="B22" s="247" t="s">
        <v>216</v>
      </c>
      <c r="C22" s="254"/>
      <c r="D22" s="254"/>
      <c r="E22" s="254"/>
      <c r="F22" s="254"/>
      <c r="G22" s="254"/>
      <c r="H22" s="254"/>
      <c r="I22" s="254"/>
      <c r="J22" s="378"/>
      <c r="K22" s="513"/>
      <c r="L22" s="510"/>
      <c r="M22" s="254"/>
      <c r="N22" s="254"/>
      <c r="P22" s="511"/>
      <c r="Q22" s="254"/>
      <c r="R22" s="508"/>
      <c r="S22" s="508"/>
      <c r="T22" s="510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4"/>
      <c r="AH22" s="254"/>
      <c r="AI22" s="254"/>
      <c r="AJ22" s="254"/>
    </row>
    <row r="23" spans="1:36">
      <c r="A23" s="254"/>
      <c r="B23" s="254"/>
      <c r="C23" s="254"/>
      <c r="D23" s="254"/>
      <c r="E23" s="254"/>
      <c r="F23" s="254"/>
      <c r="G23" s="254"/>
      <c r="H23" s="254"/>
      <c r="I23" s="254"/>
      <c r="J23" s="378"/>
      <c r="K23" s="513"/>
      <c r="L23" s="510"/>
      <c r="M23" s="254"/>
      <c r="N23" s="254"/>
      <c r="P23" s="511"/>
      <c r="Q23" s="254"/>
      <c r="R23" s="508"/>
      <c r="S23" s="508"/>
      <c r="T23" s="510"/>
      <c r="U23" s="254"/>
      <c r="V23" s="254"/>
      <c r="W23" s="254"/>
      <c r="X23" s="254"/>
      <c r="Y23" s="254"/>
      <c r="Z23" s="254"/>
      <c r="AA23" s="254"/>
      <c r="AB23" s="254"/>
      <c r="AC23" s="254"/>
      <c r="AD23" s="254"/>
      <c r="AE23" s="254"/>
      <c r="AF23" s="254"/>
      <c r="AG23" s="254"/>
      <c r="AH23" s="254"/>
      <c r="AI23" s="254"/>
      <c r="AJ23" s="254"/>
    </row>
    <row r="24" spans="1:36">
      <c r="A24" s="254"/>
      <c r="B24" s="254" t="s">
        <v>203</v>
      </c>
      <c r="C24" s="254"/>
      <c r="D24" s="254"/>
      <c r="E24" s="254"/>
      <c r="F24" s="254"/>
      <c r="G24" s="254"/>
      <c r="H24" s="254"/>
      <c r="I24" s="254"/>
      <c r="J24" s="378"/>
      <c r="K24" s="513"/>
      <c r="M24" s="510"/>
      <c r="N24" s="254"/>
      <c r="P24" s="511"/>
      <c r="Q24" s="254"/>
      <c r="R24" s="508"/>
      <c r="S24" s="508"/>
      <c r="T24" s="510"/>
      <c r="U24" s="254"/>
      <c r="V24" s="254"/>
      <c r="W24" s="254"/>
      <c r="X24" s="254"/>
      <c r="Y24" s="254"/>
      <c r="Z24" s="254"/>
      <c r="AA24" s="254"/>
      <c r="AB24" s="254"/>
      <c r="AC24" s="254"/>
      <c r="AD24" s="254"/>
      <c r="AE24" s="254"/>
      <c r="AF24" s="254"/>
      <c r="AG24" s="254"/>
      <c r="AH24" s="254"/>
      <c r="AI24" s="254"/>
      <c r="AJ24" s="254"/>
    </row>
    <row r="25" spans="1:36">
      <c r="A25" s="254"/>
      <c r="B25" s="254" t="s">
        <v>240</v>
      </c>
      <c r="C25" s="254"/>
      <c r="D25" s="254"/>
      <c r="E25" s="254"/>
      <c r="F25" s="254"/>
      <c r="G25" s="254"/>
      <c r="H25" s="254"/>
      <c r="I25" s="254"/>
      <c r="J25" s="378"/>
      <c r="K25" s="513"/>
      <c r="M25" s="510"/>
      <c r="N25" s="254"/>
      <c r="P25" s="511"/>
      <c r="Q25" s="254"/>
      <c r="R25" s="508"/>
      <c r="S25" s="508"/>
      <c r="T25" s="510"/>
      <c r="U25" s="254"/>
      <c r="V25" s="254"/>
      <c r="W25" s="254"/>
      <c r="X25" s="254"/>
      <c r="Y25" s="254"/>
      <c r="Z25" s="254"/>
      <c r="AA25" s="254"/>
      <c r="AB25" s="254"/>
      <c r="AC25" s="254"/>
      <c r="AD25" s="254"/>
      <c r="AE25" s="254"/>
      <c r="AF25" s="254"/>
      <c r="AG25" s="254"/>
      <c r="AH25" s="254"/>
      <c r="AI25" s="254"/>
      <c r="AJ25" s="254"/>
    </row>
    <row r="26" spans="1:36">
      <c r="A26" s="254"/>
      <c r="B26" s="254" t="s">
        <v>204</v>
      </c>
      <c r="C26" s="254"/>
      <c r="D26" s="254"/>
      <c r="E26" s="254"/>
      <c r="F26" s="254"/>
      <c r="G26" s="254"/>
      <c r="H26" s="254"/>
      <c r="I26" s="254"/>
      <c r="J26" s="378"/>
      <c r="K26" s="513"/>
      <c r="M26" s="510"/>
      <c r="N26" s="254"/>
      <c r="P26" s="511"/>
      <c r="Q26" s="254"/>
      <c r="R26" s="508"/>
      <c r="S26" s="508"/>
      <c r="T26" s="510"/>
      <c r="U26" s="254"/>
      <c r="V26" s="254"/>
      <c r="W26" s="254"/>
      <c r="X26" s="254"/>
      <c r="Y26" s="254"/>
      <c r="Z26" s="254"/>
      <c r="AA26" s="254"/>
      <c r="AB26" s="254"/>
      <c r="AC26" s="254"/>
      <c r="AD26" s="254"/>
      <c r="AE26" s="254"/>
      <c r="AF26" s="254"/>
      <c r="AG26" s="254"/>
      <c r="AH26" s="254"/>
      <c r="AI26" s="254"/>
      <c r="AJ26" s="254"/>
    </row>
    <row r="27" spans="1:36">
      <c r="A27" s="254"/>
      <c r="B27" s="254" t="s">
        <v>205</v>
      </c>
      <c r="C27" s="254"/>
      <c r="D27" s="254"/>
      <c r="E27" s="254"/>
      <c r="F27" s="254"/>
      <c r="G27" s="254"/>
      <c r="H27" s="254"/>
      <c r="I27" s="254"/>
      <c r="J27" s="378"/>
      <c r="K27" s="513"/>
      <c r="M27" s="510"/>
      <c r="N27" s="254"/>
      <c r="P27" s="511"/>
      <c r="Q27" s="254"/>
      <c r="R27" s="508"/>
      <c r="S27" s="508"/>
      <c r="T27" s="510"/>
      <c r="U27" s="254"/>
      <c r="V27" s="254"/>
      <c r="W27" s="254"/>
      <c r="X27" s="254"/>
      <c r="Y27" s="254"/>
      <c r="Z27" s="254"/>
      <c r="AA27" s="254"/>
      <c r="AB27" s="254"/>
      <c r="AC27" s="254"/>
      <c r="AD27" s="254"/>
      <c r="AE27" s="254"/>
      <c r="AF27" s="254"/>
      <c r="AG27" s="254"/>
      <c r="AH27" s="254"/>
      <c r="AI27" s="254"/>
      <c r="AJ27" s="254"/>
    </row>
    <row r="28" spans="1:36">
      <c r="A28" s="254"/>
      <c r="B28" s="254" t="s">
        <v>206</v>
      </c>
      <c r="C28" s="254"/>
      <c r="D28" s="254"/>
      <c r="E28" s="254"/>
      <c r="F28" s="254"/>
      <c r="G28" s="254"/>
      <c r="H28" s="254"/>
      <c r="I28" s="254"/>
      <c r="J28" s="378"/>
      <c r="K28" s="513"/>
      <c r="M28" s="510"/>
      <c r="N28" s="254"/>
      <c r="P28" s="511"/>
      <c r="Q28" s="254"/>
      <c r="R28" s="508"/>
      <c r="S28" s="508"/>
      <c r="T28" s="510"/>
      <c r="U28" s="254"/>
      <c r="V28" s="254"/>
      <c r="W28" s="254"/>
      <c r="X28" s="254"/>
      <c r="Y28" s="254"/>
      <c r="Z28" s="254"/>
      <c r="AA28" s="254"/>
      <c r="AB28" s="254"/>
      <c r="AC28" s="254"/>
      <c r="AD28" s="254"/>
      <c r="AE28" s="254"/>
      <c r="AF28" s="254"/>
      <c r="AG28" s="254"/>
      <c r="AH28" s="254"/>
      <c r="AI28" s="254"/>
      <c r="AJ28" s="254"/>
    </row>
    <row r="29" spans="1:36">
      <c r="A29" s="254"/>
      <c r="B29" s="254"/>
      <c r="C29" s="254"/>
      <c r="D29" s="254"/>
      <c r="E29" s="254"/>
      <c r="F29" s="254"/>
      <c r="G29" s="254"/>
      <c r="H29" s="254"/>
      <c r="I29" s="254"/>
      <c r="J29" s="378"/>
      <c r="K29" s="513"/>
      <c r="M29" s="510"/>
      <c r="N29" s="254"/>
      <c r="P29" s="511"/>
      <c r="Q29" s="254"/>
      <c r="R29" s="508"/>
      <c r="S29" s="508"/>
      <c r="T29" s="510"/>
      <c r="U29" s="254"/>
      <c r="V29" s="254"/>
      <c r="W29" s="254"/>
      <c r="X29" s="254"/>
      <c r="Y29" s="254"/>
      <c r="Z29" s="254"/>
      <c r="AA29" s="254"/>
      <c r="AB29" s="254"/>
      <c r="AC29" s="254"/>
      <c r="AD29" s="254"/>
      <c r="AE29" s="254"/>
      <c r="AF29" s="254"/>
      <c r="AG29" s="254"/>
      <c r="AH29" s="254"/>
      <c r="AI29" s="254"/>
      <c r="AJ29" s="254"/>
    </row>
    <row r="30" spans="1:36">
      <c r="A30" s="254"/>
      <c r="B30" s="254" t="s">
        <v>197</v>
      </c>
      <c r="C30" s="254"/>
      <c r="D30" s="254"/>
      <c r="E30" s="254"/>
      <c r="F30" s="254"/>
      <c r="G30" s="254"/>
      <c r="H30" s="254"/>
      <c r="I30" s="254"/>
      <c r="J30" s="378"/>
      <c r="K30" s="254"/>
      <c r="L30" s="254"/>
      <c r="M30" s="254"/>
      <c r="N30" s="254"/>
      <c r="P30" s="511"/>
      <c r="Q30" s="254"/>
      <c r="R30" s="508"/>
      <c r="S30" s="508"/>
      <c r="T30" s="510"/>
      <c r="U30" s="254"/>
      <c r="V30" s="254"/>
      <c r="W30" s="254"/>
      <c r="X30" s="254"/>
      <c r="Y30" s="254"/>
      <c r="Z30" s="254"/>
      <c r="AA30" s="254"/>
      <c r="AB30" s="254"/>
      <c r="AC30" s="254"/>
      <c r="AD30" s="254"/>
      <c r="AE30" s="254"/>
      <c r="AF30" s="254"/>
      <c r="AG30" s="254"/>
      <c r="AH30" s="254"/>
      <c r="AI30" s="254"/>
      <c r="AJ30" s="254"/>
    </row>
    <row r="31" spans="1:36">
      <c r="A31" s="254"/>
      <c r="B31" s="247" t="s">
        <v>202</v>
      </c>
      <c r="C31" s="254"/>
      <c r="D31" s="254"/>
      <c r="E31" s="254"/>
      <c r="F31" s="254"/>
      <c r="G31" s="254"/>
      <c r="H31" s="254"/>
      <c r="I31" s="254"/>
      <c r="J31" s="378"/>
      <c r="K31" s="254"/>
      <c r="L31" s="254"/>
      <c r="M31" s="254"/>
      <c r="N31" s="254"/>
      <c r="P31" s="511"/>
      <c r="Q31" s="254"/>
      <c r="R31" s="508"/>
      <c r="S31" s="508"/>
      <c r="T31" s="510"/>
      <c r="U31" s="254"/>
      <c r="V31" s="254"/>
      <c r="W31" s="254"/>
      <c r="X31" s="254"/>
      <c r="Y31" s="254"/>
      <c r="Z31" s="254"/>
      <c r="AA31" s="254"/>
      <c r="AB31" s="254"/>
      <c r="AC31" s="254"/>
      <c r="AD31" s="254"/>
      <c r="AE31" s="254"/>
      <c r="AF31" s="254"/>
      <c r="AG31" s="254"/>
      <c r="AH31" s="254"/>
      <c r="AI31" s="254"/>
      <c r="AJ31" s="254"/>
    </row>
    <row r="32" spans="1:36">
      <c r="A32" s="254"/>
      <c r="B32" s="247" t="s">
        <v>198</v>
      </c>
      <c r="C32" s="254"/>
      <c r="D32" s="254"/>
      <c r="E32" s="254"/>
      <c r="F32" s="254"/>
      <c r="G32" s="254"/>
      <c r="H32" s="254"/>
      <c r="I32" s="254"/>
      <c r="J32" s="378"/>
      <c r="K32" s="254"/>
      <c r="L32" s="512"/>
      <c r="M32" s="254"/>
      <c r="N32" s="254"/>
      <c r="P32" s="511"/>
      <c r="Q32" s="254"/>
      <c r="R32" s="508"/>
      <c r="S32" s="508"/>
      <c r="T32" s="510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</row>
    <row r="33" spans="1:36">
      <c r="A33" s="254"/>
      <c r="C33" s="254"/>
      <c r="D33" s="254"/>
      <c r="E33" s="254"/>
      <c r="F33" s="254"/>
      <c r="G33" s="254"/>
      <c r="H33" s="254"/>
      <c r="I33" s="254"/>
      <c r="J33" s="378"/>
      <c r="K33" s="254"/>
      <c r="L33" s="512"/>
      <c r="M33" s="254"/>
      <c r="N33" s="254"/>
      <c r="P33" s="511"/>
      <c r="Q33" s="254"/>
      <c r="R33" s="508"/>
      <c r="S33" s="508"/>
      <c r="T33" s="510"/>
      <c r="U33" s="254"/>
      <c r="V33" s="254"/>
      <c r="W33" s="254"/>
      <c r="X33" s="254"/>
      <c r="Y33" s="254"/>
      <c r="Z33" s="254"/>
      <c r="AA33" s="254"/>
      <c r="AB33" s="254"/>
      <c r="AC33" s="254"/>
      <c r="AD33" s="254"/>
      <c r="AE33" s="254"/>
      <c r="AF33" s="254"/>
      <c r="AG33" s="254"/>
      <c r="AH33" s="254"/>
      <c r="AI33" s="254"/>
      <c r="AJ33" s="254"/>
    </row>
    <row r="34" spans="1:36">
      <c r="A34" s="254"/>
      <c r="B34" s="387" t="s">
        <v>231</v>
      </c>
      <c r="C34" s="254"/>
      <c r="D34" s="254"/>
      <c r="E34" s="254"/>
      <c r="F34" s="254"/>
      <c r="G34" s="254"/>
      <c r="H34" s="254"/>
      <c r="I34" s="254"/>
      <c r="J34" s="378"/>
      <c r="K34" s="254"/>
      <c r="L34" s="512"/>
      <c r="M34" s="254"/>
      <c r="N34" s="254"/>
      <c r="P34" s="511"/>
      <c r="Q34" s="254"/>
      <c r="R34" s="508"/>
      <c r="S34" s="508"/>
      <c r="T34" s="510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</row>
    <row r="35" spans="1:36">
      <c r="A35" s="254"/>
      <c r="B35" s="254" t="s">
        <v>199</v>
      </c>
      <c r="C35" s="254"/>
      <c r="D35" s="254"/>
      <c r="E35" s="254"/>
      <c r="F35" s="254"/>
      <c r="G35" s="254"/>
      <c r="H35" s="254"/>
      <c r="I35" s="254"/>
      <c r="J35" s="378"/>
      <c r="K35" s="254"/>
      <c r="L35" s="512"/>
      <c r="M35" s="254"/>
      <c r="N35" s="254"/>
      <c r="P35" s="511"/>
      <c r="Q35" s="254"/>
      <c r="R35" s="508"/>
      <c r="S35" s="508"/>
      <c r="T35" s="510"/>
      <c r="U35" s="254"/>
      <c r="V35" s="254"/>
      <c r="W35" s="254"/>
      <c r="X35" s="254"/>
      <c r="Y35" s="254"/>
      <c r="Z35" s="254"/>
      <c r="AA35" s="254"/>
      <c r="AB35" s="254"/>
      <c r="AC35" s="254"/>
      <c r="AD35" s="254"/>
      <c r="AE35" s="254"/>
      <c r="AF35" s="254"/>
      <c r="AG35" s="254"/>
      <c r="AH35" s="254"/>
      <c r="AI35" s="254"/>
      <c r="AJ35" s="254"/>
    </row>
    <row r="36" spans="1:36">
      <c r="A36" s="254"/>
      <c r="B36" s="254" t="s">
        <v>200</v>
      </c>
      <c r="C36" s="254"/>
      <c r="D36" s="254"/>
      <c r="E36" s="254"/>
      <c r="F36" s="254"/>
      <c r="G36" s="254"/>
      <c r="H36" s="254"/>
      <c r="I36" s="254"/>
      <c r="J36" s="378"/>
      <c r="K36" s="508"/>
      <c r="L36" s="510"/>
      <c r="M36" s="254"/>
      <c r="N36" s="254"/>
      <c r="P36" s="511"/>
      <c r="Q36" s="254"/>
      <c r="R36" s="508"/>
      <c r="S36" s="508"/>
      <c r="T36" s="510"/>
      <c r="U36" s="254"/>
      <c r="V36" s="254"/>
      <c r="W36" s="254"/>
      <c r="X36" s="254"/>
      <c r="Y36" s="254"/>
      <c r="Z36" s="254"/>
      <c r="AA36" s="254"/>
      <c r="AB36" s="254"/>
      <c r="AC36" s="254"/>
      <c r="AD36" s="254"/>
      <c r="AE36" s="254"/>
      <c r="AF36" s="254"/>
      <c r="AG36" s="254"/>
      <c r="AH36" s="254"/>
      <c r="AI36" s="254"/>
      <c r="AJ36" s="254"/>
    </row>
    <row r="37" spans="1:36">
      <c r="A37" s="254"/>
      <c r="B37" s="254" t="s">
        <v>232</v>
      </c>
      <c r="C37" s="254"/>
      <c r="D37" s="254"/>
      <c r="E37" s="254"/>
      <c r="F37" s="254"/>
      <c r="G37" s="254"/>
      <c r="H37" s="254"/>
      <c r="I37" s="254"/>
      <c r="J37" s="378"/>
      <c r="K37" s="508"/>
      <c r="L37" s="510"/>
      <c r="M37" s="254"/>
      <c r="N37" s="254"/>
      <c r="O37" s="380"/>
      <c r="P37" s="380"/>
      <c r="Q37" s="378"/>
      <c r="R37" s="513"/>
      <c r="S37" s="513"/>
      <c r="T37" s="510"/>
      <c r="U37" s="254"/>
      <c r="V37" s="254"/>
      <c r="W37" s="254"/>
      <c r="X37" s="254"/>
      <c r="Y37" s="254"/>
      <c r="Z37" s="254"/>
      <c r="AA37" s="254"/>
      <c r="AB37" s="254"/>
      <c r="AC37" s="254"/>
      <c r="AD37" s="254"/>
      <c r="AE37" s="254"/>
      <c r="AF37" s="254"/>
      <c r="AG37" s="254"/>
      <c r="AH37" s="254"/>
      <c r="AI37" s="254"/>
      <c r="AJ37" s="254"/>
    </row>
    <row r="38" spans="1:36">
      <c r="A38" s="254"/>
      <c r="B38" s="254" t="s">
        <v>241</v>
      </c>
      <c r="C38" s="254"/>
      <c r="D38" s="254"/>
      <c r="E38" s="254"/>
      <c r="F38" s="254"/>
      <c r="G38" s="254"/>
      <c r="H38" s="254"/>
      <c r="I38" s="254"/>
      <c r="J38" s="378"/>
      <c r="K38" s="508"/>
      <c r="L38" s="510"/>
      <c r="M38" s="254"/>
      <c r="N38" s="254"/>
      <c r="O38" s="380"/>
      <c r="P38" s="380"/>
      <c r="Q38" s="378"/>
      <c r="R38" s="513"/>
      <c r="S38" s="513"/>
      <c r="T38" s="510"/>
      <c r="U38" s="254"/>
      <c r="V38" s="254"/>
      <c r="W38" s="254"/>
      <c r="X38" s="254"/>
      <c r="Y38" s="254"/>
      <c r="Z38" s="254"/>
      <c r="AA38" s="254"/>
      <c r="AB38" s="254"/>
      <c r="AC38" s="254"/>
      <c r="AD38" s="254"/>
      <c r="AE38" s="254"/>
      <c r="AF38" s="254"/>
      <c r="AG38" s="254"/>
      <c r="AH38" s="254"/>
      <c r="AI38" s="254"/>
      <c r="AJ38" s="254"/>
    </row>
    <row r="39" spans="1:36">
      <c r="A39" s="254"/>
      <c r="B39" s="254"/>
      <c r="C39" s="254"/>
      <c r="D39" s="254"/>
      <c r="E39" s="254"/>
      <c r="F39" s="254"/>
      <c r="G39" s="254"/>
      <c r="H39" s="254"/>
      <c r="I39" s="254"/>
      <c r="J39" s="378"/>
      <c r="K39" s="508"/>
      <c r="L39" s="510"/>
      <c r="M39" s="254"/>
      <c r="N39" s="254"/>
      <c r="O39" s="380"/>
      <c r="P39" s="380"/>
      <c r="Q39" s="378"/>
      <c r="R39" s="513"/>
      <c r="S39" s="513"/>
      <c r="T39" s="510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</row>
    <row r="40" spans="1:36">
      <c r="A40" s="254"/>
      <c r="B40" s="254" t="s">
        <v>208</v>
      </c>
      <c r="C40" s="254"/>
      <c r="D40" s="254"/>
      <c r="E40" s="254"/>
      <c r="F40" s="254"/>
      <c r="G40" s="254"/>
      <c r="H40" s="254"/>
      <c r="I40" s="254"/>
      <c r="J40" s="378"/>
      <c r="K40" s="508"/>
      <c r="L40" s="510"/>
      <c r="M40" s="254"/>
      <c r="N40" s="254"/>
      <c r="O40" s="380"/>
      <c r="P40" s="380"/>
      <c r="Q40" s="378"/>
      <c r="R40" s="513"/>
      <c r="S40" s="513"/>
      <c r="T40" s="510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</row>
    <row r="41" spans="1:36">
      <c r="A41" s="254"/>
      <c r="B41" s="254" t="s">
        <v>201</v>
      </c>
      <c r="C41" s="254"/>
      <c r="D41" s="254"/>
      <c r="E41" s="254"/>
      <c r="F41" s="254"/>
      <c r="G41" s="254"/>
      <c r="H41" s="254"/>
      <c r="I41" s="254"/>
      <c r="J41" s="378"/>
      <c r="K41" s="508"/>
      <c r="L41" s="510"/>
      <c r="M41" s="254"/>
      <c r="N41" s="254"/>
      <c r="O41" s="380"/>
      <c r="P41" s="380"/>
      <c r="Q41" s="378"/>
      <c r="R41" s="513"/>
      <c r="S41" s="513"/>
      <c r="T41" s="510"/>
      <c r="U41" s="254"/>
      <c r="V41" s="254"/>
      <c r="W41" s="254"/>
      <c r="X41" s="254"/>
      <c r="Y41" s="254"/>
      <c r="Z41" s="254"/>
      <c r="AA41" s="254"/>
      <c r="AB41" s="254"/>
      <c r="AC41" s="254"/>
      <c r="AD41" s="254"/>
      <c r="AE41" s="254"/>
      <c r="AF41" s="254"/>
      <c r="AG41" s="254"/>
      <c r="AH41" s="254"/>
      <c r="AI41" s="254"/>
      <c r="AJ41" s="254"/>
    </row>
    <row r="42" spans="1:36">
      <c r="A42" s="254"/>
      <c r="B42" s="254" t="s">
        <v>225</v>
      </c>
      <c r="C42" s="254"/>
      <c r="D42" s="254"/>
      <c r="E42" s="254"/>
      <c r="F42" s="254"/>
      <c r="G42" s="254"/>
      <c r="H42" s="254"/>
      <c r="I42" s="254"/>
      <c r="J42" s="378"/>
      <c r="K42" s="508"/>
      <c r="L42" s="510"/>
      <c r="M42" s="254"/>
      <c r="N42" s="254"/>
      <c r="O42" s="380"/>
      <c r="P42" s="380"/>
      <c r="Q42" s="378"/>
      <c r="R42" s="513"/>
      <c r="S42" s="513"/>
      <c r="T42" s="510"/>
      <c r="U42" s="254"/>
      <c r="V42" s="254"/>
      <c r="W42" s="254"/>
      <c r="X42" s="254"/>
      <c r="Y42" s="254"/>
      <c r="Z42" s="254"/>
      <c r="AA42" s="254"/>
      <c r="AB42" s="254"/>
      <c r="AC42" s="254"/>
      <c r="AD42" s="254"/>
      <c r="AE42" s="254"/>
      <c r="AF42" s="254"/>
      <c r="AG42" s="254"/>
      <c r="AH42" s="254"/>
      <c r="AI42" s="254"/>
      <c r="AJ42" s="254"/>
    </row>
    <row r="43" spans="1:36">
      <c r="A43" s="254"/>
      <c r="B43" s="254" t="s">
        <v>242</v>
      </c>
      <c r="C43" s="254"/>
      <c r="D43" s="254"/>
      <c r="E43" s="254"/>
      <c r="F43" s="254"/>
      <c r="G43" s="254"/>
      <c r="H43" s="254"/>
      <c r="I43" s="254"/>
      <c r="J43" s="378"/>
      <c r="K43" s="508"/>
      <c r="L43" s="510"/>
      <c r="M43" s="254"/>
      <c r="N43" s="254"/>
      <c r="O43" s="380"/>
      <c r="P43" s="380"/>
      <c r="Q43" s="378"/>
      <c r="R43" s="513"/>
      <c r="S43" s="513"/>
      <c r="T43" s="510"/>
      <c r="U43" s="254"/>
      <c r="V43" s="254"/>
      <c r="W43" s="254"/>
      <c r="X43" s="254"/>
      <c r="Y43" s="254"/>
      <c r="Z43" s="254"/>
      <c r="AA43" s="254"/>
      <c r="AB43" s="254"/>
      <c r="AC43" s="254"/>
      <c r="AD43" s="254"/>
      <c r="AE43" s="254"/>
      <c r="AF43" s="254"/>
      <c r="AG43" s="254"/>
      <c r="AH43" s="254"/>
      <c r="AI43" s="254"/>
      <c r="AJ43" s="254"/>
    </row>
    <row r="44" spans="1:36">
      <c r="A44" s="254"/>
      <c r="B44" s="254"/>
      <c r="C44" s="254"/>
      <c r="D44" s="254"/>
      <c r="E44" s="254"/>
      <c r="F44" s="254"/>
      <c r="G44" s="254"/>
      <c r="H44" s="254"/>
      <c r="I44" s="254"/>
      <c r="J44" s="378"/>
      <c r="K44" s="508"/>
      <c r="L44" s="510"/>
      <c r="M44" s="254"/>
      <c r="N44" s="254"/>
      <c r="O44" s="380"/>
      <c r="P44" s="380"/>
      <c r="Q44" s="378"/>
      <c r="R44" s="513"/>
      <c r="S44" s="513"/>
      <c r="T44" s="510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</row>
    <row r="45" spans="1:36">
      <c r="A45" s="254"/>
      <c r="B45" s="512" t="s">
        <v>243</v>
      </c>
      <c r="C45" s="254"/>
      <c r="D45" s="254"/>
      <c r="E45" s="254"/>
      <c r="F45" s="254"/>
      <c r="G45" s="254"/>
      <c r="H45" s="254"/>
      <c r="I45" s="254"/>
      <c r="J45" s="378"/>
      <c r="K45" s="508"/>
      <c r="L45" s="510"/>
      <c r="M45" s="254"/>
      <c r="N45" s="254"/>
      <c r="O45" s="380"/>
      <c r="P45" s="380"/>
      <c r="Q45" s="378"/>
      <c r="R45" s="513"/>
      <c r="S45" s="513"/>
      <c r="T45" s="510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</row>
    <row r="46" spans="1:36">
      <c r="A46" s="254"/>
      <c r="B46" s="254" t="s">
        <v>221</v>
      </c>
      <c r="C46" s="254"/>
      <c r="D46" s="254"/>
      <c r="E46" s="254"/>
      <c r="F46" s="254"/>
      <c r="G46" s="254"/>
      <c r="H46" s="254"/>
      <c r="I46" s="254"/>
      <c r="J46" s="378"/>
      <c r="K46" s="508"/>
      <c r="L46" s="510"/>
      <c r="M46" s="254"/>
      <c r="N46" s="254"/>
      <c r="O46" s="380"/>
      <c r="P46" s="380"/>
      <c r="Q46" s="378"/>
      <c r="R46" s="513"/>
      <c r="S46" s="513"/>
      <c r="T46" s="510"/>
      <c r="U46" s="254"/>
      <c r="V46" s="254"/>
      <c r="W46" s="254"/>
      <c r="X46" s="254"/>
      <c r="Y46" s="254"/>
      <c r="Z46" s="254"/>
      <c r="AA46" s="254"/>
      <c r="AB46" s="254"/>
      <c r="AC46" s="254"/>
      <c r="AD46" s="254"/>
      <c r="AE46" s="254"/>
      <c r="AF46" s="254"/>
      <c r="AG46" s="254"/>
      <c r="AH46" s="254"/>
      <c r="AI46" s="254"/>
      <c r="AJ46" s="254"/>
    </row>
    <row r="47" spans="1:36">
      <c r="A47" s="254"/>
      <c r="B47" s="254" t="s">
        <v>244</v>
      </c>
      <c r="C47" s="254"/>
      <c r="D47" s="254"/>
      <c r="E47" s="254"/>
      <c r="F47" s="254"/>
      <c r="G47" s="254"/>
      <c r="H47" s="254"/>
      <c r="I47" s="254"/>
      <c r="J47" s="378"/>
      <c r="K47" s="508"/>
      <c r="L47" s="510"/>
      <c r="M47" s="254"/>
      <c r="N47" s="254"/>
      <c r="O47" s="380"/>
      <c r="P47" s="380"/>
      <c r="Q47" s="378"/>
      <c r="R47" s="513"/>
      <c r="S47" s="513"/>
      <c r="T47" s="510"/>
      <c r="U47" s="254"/>
      <c r="V47" s="254"/>
      <c r="W47" s="254"/>
      <c r="X47" s="254"/>
      <c r="Y47" s="254"/>
      <c r="Z47" s="254"/>
      <c r="AA47" s="254"/>
      <c r="AB47" s="254"/>
      <c r="AC47" s="254"/>
      <c r="AD47" s="254"/>
      <c r="AE47" s="254"/>
      <c r="AF47" s="254"/>
      <c r="AG47" s="254"/>
      <c r="AH47" s="254"/>
      <c r="AI47" s="254"/>
      <c r="AJ47" s="254"/>
    </row>
    <row r="48" spans="1:36">
      <c r="A48" s="254"/>
      <c r="B48" s="254" t="s">
        <v>245</v>
      </c>
      <c r="C48" s="254"/>
      <c r="D48" s="254"/>
      <c r="E48" s="254"/>
      <c r="F48" s="254"/>
      <c r="G48" s="254"/>
      <c r="H48" s="254"/>
      <c r="I48" s="254"/>
      <c r="J48" s="378"/>
      <c r="K48" s="508"/>
      <c r="L48" s="510"/>
      <c r="M48" s="254"/>
      <c r="N48" s="254"/>
      <c r="O48" s="380"/>
      <c r="P48" s="380"/>
      <c r="Q48" s="378"/>
      <c r="R48" s="513"/>
      <c r="S48" s="513"/>
      <c r="T48" s="510"/>
      <c r="U48" s="254"/>
      <c r="V48" s="254"/>
      <c r="W48" s="254"/>
      <c r="X48" s="254"/>
      <c r="Y48" s="254"/>
      <c r="Z48" s="254"/>
      <c r="AA48" s="254"/>
      <c r="AB48" s="254"/>
      <c r="AC48" s="254"/>
      <c r="AD48" s="254"/>
      <c r="AE48" s="254"/>
      <c r="AF48" s="254"/>
      <c r="AG48" s="254"/>
      <c r="AH48" s="254"/>
      <c r="AI48" s="254"/>
      <c r="AJ48" s="254"/>
    </row>
    <row r="49" spans="1:36">
      <c r="A49" s="254"/>
      <c r="B49" s="254" t="s">
        <v>246</v>
      </c>
      <c r="C49" s="254"/>
      <c r="D49" s="254"/>
      <c r="E49" s="254"/>
      <c r="F49" s="254"/>
      <c r="G49" s="254"/>
      <c r="H49" s="254"/>
      <c r="I49" s="254"/>
      <c r="J49" s="378"/>
      <c r="K49" s="508"/>
      <c r="L49" s="510"/>
      <c r="M49" s="254"/>
      <c r="N49" s="254"/>
      <c r="O49" s="380"/>
      <c r="P49" s="380"/>
      <c r="Q49" s="378"/>
      <c r="R49" s="513"/>
      <c r="S49" s="513"/>
      <c r="T49" s="510"/>
      <c r="U49" s="254"/>
      <c r="V49" s="254"/>
      <c r="W49" s="254"/>
      <c r="X49" s="254"/>
      <c r="Y49" s="254"/>
      <c r="Z49" s="254"/>
      <c r="AA49" s="254"/>
      <c r="AB49" s="254"/>
      <c r="AC49" s="254"/>
      <c r="AD49" s="254"/>
      <c r="AE49" s="254"/>
      <c r="AF49" s="254"/>
      <c r="AG49" s="254"/>
      <c r="AH49" s="254"/>
      <c r="AI49" s="254"/>
      <c r="AJ49" s="254"/>
    </row>
    <row r="50" spans="1:36">
      <c r="A50" s="254"/>
      <c r="B50" s="254"/>
      <c r="C50" s="254"/>
      <c r="D50" s="254"/>
      <c r="E50" s="254"/>
      <c r="F50" s="254"/>
      <c r="G50" s="254"/>
      <c r="H50" s="254"/>
      <c r="I50" s="254"/>
      <c r="J50" s="378"/>
      <c r="K50" s="508"/>
      <c r="L50" s="510"/>
      <c r="M50" s="254"/>
      <c r="N50" s="254"/>
      <c r="O50" s="380"/>
      <c r="P50" s="380"/>
      <c r="Q50" s="378"/>
      <c r="R50" s="513"/>
      <c r="S50" s="513"/>
      <c r="T50" s="510"/>
      <c r="U50" s="254"/>
      <c r="V50" s="254"/>
      <c r="W50" s="254"/>
      <c r="X50" s="254"/>
      <c r="Y50" s="254"/>
      <c r="Z50" s="254"/>
      <c r="AA50" s="254"/>
      <c r="AB50" s="254"/>
      <c r="AC50" s="254"/>
      <c r="AD50" s="254"/>
      <c r="AE50" s="254"/>
      <c r="AF50" s="254"/>
      <c r="AG50" s="254"/>
      <c r="AH50" s="254"/>
      <c r="AI50" s="254"/>
      <c r="AJ50" s="254"/>
    </row>
    <row r="51" spans="1:36">
      <c r="A51" s="254"/>
      <c r="B51" s="247" t="s">
        <v>247</v>
      </c>
      <c r="C51" s="254"/>
      <c r="D51" s="254"/>
      <c r="E51" s="254"/>
      <c r="F51" s="254"/>
      <c r="G51" s="254"/>
      <c r="H51" s="254"/>
      <c r="I51" s="254"/>
      <c r="J51" s="378"/>
      <c r="K51" s="508"/>
      <c r="L51" s="510"/>
      <c r="M51" s="254"/>
      <c r="N51" s="254"/>
      <c r="O51" s="380"/>
      <c r="P51" s="380"/>
      <c r="Q51" s="378"/>
      <c r="R51" s="513"/>
      <c r="S51" s="513"/>
      <c r="T51" s="510"/>
      <c r="U51" s="254"/>
      <c r="V51" s="254"/>
      <c r="W51" s="254"/>
      <c r="X51" s="254"/>
      <c r="Y51" s="254"/>
      <c r="Z51" s="254"/>
      <c r="AA51" s="254"/>
      <c r="AB51" s="254"/>
      <c r="AC51" s="254"/>
      <c r="AD51" s="254"/>
      <c r="AE51" s="254"/>
      <c r="AF51" s="254"/>
      <c r="AG51" s="254"/>
      <c r="AH51" s="254"/>
      <c r="AI51" s="254"/>
      <c r="AJ51" s="254"/>
    </row>
    <row r="52" spans="1:36">
      <c r="A52" s="254"/>
      <c r="B52" s="247" t="s">
        <v>248</v>
      </c>
      <c r="C52" s="254"/>
      <c r="D52" s="254"/>
      <c r="E52" s="254"/>
      <c r="F52" s="254"/>
      <c r="G52" s="254"/>
      <c r="H52" s="254"/>
      <c r="I52" s="254"/>
      <c r="J52" s="378"/>
      <c r="K52" s="508"/>
      <c r="L52" s="510"/>
      <c r="M52" s="254"/>
      <c r="N52" s="254"/>
      <c r="O52" s="380"/>
      <c r="P52" s="380"/>
      <c r="Q52" s="378"/>
      <c r="R52" s="508"/>
      <c r="S52" s="508"/>
      <c r="T52" s="510"/>
      <c r="U52" s="254"/>
      <c r="V52" s="254"/>
      <c r="W52" s="254"/>
      <c r="X52" s="254"/>
      <c r="Y52" s="254"/>
      <c r="Z52" s="254"/>
      <c r="AA52" s="254"/>
      <c r="AB52" s="254"/>
      <c r="AC52" s="254"/>
      <c r="AD52" s="254"/>
      <c r="AE52" s="254"/>
      <c r="AF52" s="254"/>
      <c r="AG52" s="254"/>
      <c r="AH52" s="254"/>
      <c r="AI52" s="254"/>
      <c r="AJ52" s="254"/>
    </row>
    <row r="53" spans="1:36">
      <c r="A53" s="254"/>
      <c r="B53" s="247" t="s">
        <v>223</v>
      </c>
      <c r="C53" s="254"/>
      <c r="D53" s="254"/>
      <c r="E53" s="254"/>
      <c r="F53" s="254"/>
      <c r="G53" s="254"/>
      <c r="H53" s="254"/>
      <c r="I53" s="254"/>
      <c r="J53" s="378"/>
      <c r="K53" s="508"/>
      <c r="L53" s="510"/>
      <c r="M53" s="254"/>
      <c r="N53" s="254"/>
      <c r="O53" s="380"/>
      <c r="P53" s="380"/>
      <c r="Q53" s="378"/>
      <c r="R53" s="508"/>
      <c r="S53" s="508"/>
      <c r="T53" s="510"/>
      <c r="U53" s="254"/>
      <c r="V53" s="254"/>
      <c r="W53" s="254"/>
      <c r="X53" s="254"/>
      <c r="Y53" s="254"/>
      <c r="Z53" s="254"/>
      <c r="AA53" s="254"/>
      <c r="AB53" s="254"/>
      <c r="AC53" s="254"/>
      <c r="AD53" s="254"/>
      <c r="AE53" s="254"/>
      <c r="AF53" s="254"/>
      <c r="AG53" s="254"/>
      <c r="AH53" s="254"/>
      <c r="AI53" s="254"/>
      <c r="AJ53" s="254"/>
    </row>
    <row r="54" spans="1:36">
      <c r="A54" s="254"/>
      <c r="B54" s="254" t="s">
        <v>249</v>
      </c>
      <c r="C54" s="254"/>
      <c r="D54" s="254"/>
      <c r="F54" s="254"/>
      <c r="G54" s="254"/>
      <c r="H54" s="254"/>
      <c r="I54" s="254"/>
      <c r="J54" s="378"/>
      <c r="K54" s="508"/>
      <c r="L54" s="510"/>
      <c r="M54" s="254"/>
      <c r="N54" s="254"/>
      <c r="O54" s="380"/>
      <c r="P54" s="380"/>
      <c r="Q54" s="378"/>
      <c r="R54" s="508"/>
      <c r="S54" s="508"/>
      <c r="T54" s="510"/>
      <c r="U54" s="254"/>
      <c r="V54" s="254"/>
      <c r="W54" s="254"/>
      <c r="X54" s="254"/>
      <c r="Y54" s="254"/>
      <c r="Z54" s="254"/>
      <c r="AA54" s="254"/>
      <c r="AB54" s="254"/>
      <c r="AC54" s="254"/>
      <c r="AD54" s="254"/>
      <c r="AE54" s="254"/>
      <c r="AF54" s="254"/>
      <c r="AG54" s="254"/>
      <c r="AH54" s="254"/>
      <c r="AI54" s="254"/>
      <c r="AJ54" s="254"/>
    </row>
    <row r="55" spans="1:36">
      <c r="A55" s="254"/>
      <c r="B55" s="254"/>
      <c r="C55" s="254"/>
      <c r="D55" s="254"/>
      <c r="E55" s="254"/>
      <c r="F55" s="254"/>
      <c r="G55" s="254"/>
      <c r="H55" s="254"/>
      <c r="I55" s="254"/>
      <c r="J55" s="378"/>
      <c r="K55" s="508"/>
      <c r="L55" s="510"/>
      <c r="M55" s="254"/>
      <c r="N55" s="254"/>
      <c r="O55" s="380"/>
      <c r="P55" s="380"/>
      <c r="Q55" s="378"/>
      <c r="R55" s="508"/>
      <c r="S55" s="508"/>
      <c r="T55" s="510"/>
      <c r="U55" s="254"/>
      <c r="V55" s="254"/>
      <c r="W55" s="254"/>
      <c r="X55" s="254"/>
      <c r="Y55" s="254"/>
      <c r="Z55" s="254"/>
      <c r="AA55" s="254"/>
      <c r="AB55" s="254"/>
      <c r="AC55" s="254"/>
      <c r="AD55" s="254"/>
      <c r="AE55" s="254"/>
      <c r="AF55" s="254"/>
      <c r="AG55" s="254"/>
      <c r="AH55" s="254"/>
      <c r="AI55" s="254"/>
      <c r="AJ55" s="254"/>
    </row>
    <row r="56" spans="1:36">
      <c r="A56" s="254"/>
      <c r="B56" s="254" t="s">
        <v>250</v>
      </c>
      <c r="C56" s="254"/>
      <c r="D56" s="254"/>
      <c r="E56" s="254"/>
      <c r="F56" s="254"/>
      <c r="G56" s="254"/>
      <c r="H56" s="254"/>
      <c r="I56" s="254"/>
      <c r="J56" s="378"/>
      <c r="K56" s="508"/>
      <c r="L56" s="510"/>
      <c r="M56" s="254"/>
      <c r="N56" s="254"/>
      <c r="O56" s="380"/>
      <c r="P56" s="380"/>
      <c r="Q56" s="378"/>
      <c r="R56" s="508"/>
      <c r="S56" s="508"/>
      <c r="T56" s="510"/>
      <c r="U56" s="254"/>
      <c r="V56" s="254"/>
      <c r="W56" s="254"/>
      <c r="X56" s="254"/>
      <c r="Y56" s="254"/>
      <c r="Z56" s="254"/>
      <c r="AA56" s="254"/>
      <c r="AB56" s="254"/>
      <c r="AC56" s="254"/>
      <c r="AD56" s="254"/>
      <c r="AE56" s="254"/>
      <c r="AF56" s="254"/>
      <c r="AG56" s="254"/>
      <c r="AH56" s="254"/>
      <c r="AI56" s="254"/>
      <c r="AJ56" s="254"/>
    </row>
    <row r="57" spans="1:36">
      <c r="A57" s="254"/>
      <c r="B57" s="254" t="s">
        <v>251</v>
      </c>
      <c r="C57" s="254"/>
      <c r="D57" s="254"/>
      <c r="E57" s="254"/>
      <c r="F57" s="254"/>
      <c r="G57" s="254"/>
      <c r="H57" s="254"/>
      <c r="I57" s="254"/>
      <c r="J57" s="378"/>
      <c r="K57" s="508"/>
      <c r="L57" s="510"/>
      <c r="M57" s="254"/>
      <c r="N57" s="254"/>
      <c r="O57" s="380"/>
      <c r="P57" s="380"/>
      <c r="Q57" s="378"/>
      <c r="R57" s="508"/>
      <c r="S57" s="508"/>
      <c r="T57" s="510"/>
      <c r="U57" s="254"/>
      <c r="V57" s="254"/>
      <c r="W57" s="254"/>
      <c r="X57" s="254"/>
      <c r="Y57" s="254"/>
      <c r="Z57" s="254"/>
      <c r="AA57" s="254"/>
      <c r="AB57" s="254"/>
      <c r="AC57" s="254"/>
      <c r="AD57" s="254"/>
      <c r="AE57" s="254"/>
      <c r="AF57" s="254"/>
      <c r="AG57" s="254"/>
      <c r="AH57" s="254"/>
      <c r="AI57" s="254"/>
      <c r="AJ57" s="254"/>
    </row>
    <row r="58" spans="1:36">
      <c r="A58" s="254"/>
      <c r="B58" s="254" t="s">
        <v>229</v>
      </c>
      <c r="C58" s="254"/>
      <c r="D58" s="254"/>
      <c r="E58" s="254"/>
      <c r="F58" s="254"/>
      <c r="G58" s="254"/>
      <c r="H58" s="254"/>
      <c r="I58" s="254"/>
      <c r="J58" s="378"/>
      <c r="K58" s="508"/>
      <c r="L58" s="510"/>
      <c r="M58" s="254"/>
      <c r="N58" s="254"/>
      <c r="O58" s="380"/>
      <c r="P58" s="380"/>
      <c r="Q58" s="378"/>
      <c r="R58" s="508"/>
      <c r="S58" s="508"/>
      <c r="T58" s="510"/>
      <c r="U58" s="254"/>
      <c r="V58" s="254"/>
      <c r="W58" s="254"/>
      <c r="X58" s="254"/>
      <c r="Y58" s="254"/>
      <c r="Z58" s="254"/>
      <c r="AA58" s="254"/>
      <c r="AB58" s="254"/>
      <c r="AC58" s="254"/>
      <c r="AD58" s="254"/>
      <c r="AE58" s="254"/>
      <c r="AF58" s="254"/>
      <c r="AG58" s="254"/>
      <c r="AH58" s="254"/>
      <c r="AI58" s="254"/>
      <c r="AJ58" s="254"/>
    </row>
    <row r="59" spans="1:36">
      <c r="A59" s="254"/>
      <c r="B59" s="254" t="s">
        <v>224</v>
      </c>
      <c r="C59" s="254"/>
      <c r="D59" s="254"/>
      <c r="E59" s="254"/>
      <c r="F59" s="254"/>
      <c r="G59" s="254"/>
      <c r="H59" s="254"/>
      <c r="I59" s="254"/>
      <c r="J59" s="378"/>
      <c r="K59" s="508"/>
      <c r="L59" s="510"/>
      <c r="M59" s="254"/>
      <c r="N59" s="254"/>
      <c r="O59" s="380"/>
      <c r="P59" s="380"/>
      <c r="Q59" s="378"/>
      <c r="R59" s="508"/>
      <c r="S59" s="508"/>
      <c r="T59" s="510"/>
      <c r="U59" s="254"/>
      <c r="V59" s="254"/>
      <c r="W59" s="254"/>
      <c r="X59" s="254"/>
      <c r="Y59" s="254"/>
      <c r="Z59" s="254"/>
      <c r="AA59" s="254"/>
      <c r="AB59" s="254"/>
      <c r="AC59" s="254"/>
      <c r="AD59" s="254"/>
      <c r="AE59" s="254"/>
      <c r="AF59" s="254"/>
      <c r="AG59" s="254"/>
      <c r="AH59" s="254"/>
      <c r="AI59" s="254"/>
      <c r="AJ59" s="254"/>
    </row>
    <row r="60" spans="1:36">
      <c r="A60" s="254"/>
      <c r="B60" s="254" t="s">
        <v>230</v>
      </c>
      <c r="C60" s="254"/>
      <c r="D60" s="254"/>
      <c r="E60" s="254"/>
      <c r="F60" s="254"/>
      <c r="G60" s="254"/>
      <c r="H60" s="254"/>
      <c r="I60" s="254"/>
      <c r="J60" s="378"/>
      <c r="K60" s="508"/>
      <c r="L60" s="510"/>
      <c r="M60" s="254"/>
      <c r="N60" s="254"/>
      <c r="O60" s="380"/>
      <c r="P60" s="380"/>
      <c r="Q60" s="378"/>
      <c r="R60" s="508"/>
      <c r="S60" s="508"/>
      <c r="T60" s="510"/>
      <c r="U60" s="254"/>
      <c r="V60" s="254"/>
      <c r="W60" s="254"/>
      <c r="X60" s="254"/>
      <c r="Y60" s="254"/>
      <c r="Z60" s="254"/>
      <c r="AA60" s="254"/>
      <c r="AB60" s="254"/>
      <c r="AC60" s="254"/>
      <c r="AD60" s="254"/>
      <c r="AE60" s="254"/>
      <c r="AF60" s="254"/>
      <c r="AG60" s="254"/>
      <c r="AH60" s="254"/>
      <c r="AI60" s="254"/>
      <c r="AJ60" s="254"/>
    </row>
    <row r="61" spans="1:36">
      <c r="A61" s="254"/>
      <c r="B61" s="254" t="s">
        <v>222</v>
      </c>
      <c r="C61" s="254"/>
      <c r="D61" s="254"/>
      <c r="E61" s="254"/>
      <c r="F61" s="254"/>
      <c r="G61" s="254"/>
      <c r="H61" s="254"/>
      <c r="I61" s="254"/>
      <c r="J61" s="378"/>
      <c r="K61" s="508"/>
      <c r="L61" s="510"/>
      <c r="M61" s="254"/>
      <c r="N61" s="254"/>
      <c r="O61" s="380"/>
      <c r="P61" s="380"/>
      <c r="Q61" s="378"/>
      <c r="R61" s="508"/>
      <c r="S61" s="508"/>
      <c r="T61" s="510"/>
      <c r="U61" s="254"/>
      <c r="V61" s="254"/>
      <c r="W61" s="254"/>
      <c r="X61" s="254"/>
      <c r="Y61" s="254"/>
      <c r="Z61" s="254"/>
      <c r="AA61" s="254"/>
      <c r="AB61" s="254"/>
      <c r="AC61" s="254"/>
      <c r="AD61" s="254"/>
      <c r="AE61" s="254"/>
      <c r="AF61" s="254"/>
      <c r="AG61" s="254"/>
      <c r="AH61" s="254"/>
      <c r="AI61" s="254"/>
      <c r="AJ61" s="254"/>
    </row>
    <row r="62" spans="1:36">
      <c r="A62" s="254"/>
      <c r="B62" s="254"/>
      <c r="C62" s="254"/>
      <c r="D62" s="254"/>
      <c r="E62" s="254"/>
      <c r="F62" s="254"/>
      <c r="G62" s="254"/>
      <c r="H62" s="254"/>
      <c r="I62" s="254"/>
      <c r="J62" s="378"/>
      <c r="K62" s="508"/>
      <c r="L62" s="510"/>
      <c r="M62" s="254"/>
      <c r="N62" s="254"/>
      <c r="O62" s="380"/>
      <c r="P62" s="380"/>
      <c r="Q62" s="378"/>
      <c r="R62" s="508"/>
      <c r="S62" s="508"/>
      <c r="T62" s="510"/>
      <c r="U62" s="254"/>
      <c r="V62" s="254"/>
      <c r="W62" s="254"/>
      <c r="X62" s="254"/>
      <c r="Y62" s="254"/>
      <c r="Z62" s="254"/>
      <c r="AA62" s="254"/>
      <c r="AB62" s="254"/>
      <c r="AC62" s="254"/>
      <c r="AD62" s="254"/>
      <c r="AE62" s="254"/>
      <c r="AF62" s="254"/>
      <c r="AG62" s="254"/>
      <c r="AH62" s="254"/>
      <c r="AI62" s="254"/>
      <c r="AJ62" s="254"/>
    </row>
    <row r="63" spans="1:36">
      <c r="A63" s="254"/>
      <c r="B63" s="254" t="s">
        <v>252</v>
      </c>
      <c r="C63" s="254"/>
      <c r="D63" s="254"/>
      <c r="E63" s="254"/>
      <c r="F63" s="254"/>
      <c r="G63" s="254"/>
      <c r="H63" s="254"/>
      <c r="I63" s="254"/>
      <c r="J63" s="378"/>
      <c r="K63" s="508"/>
      <c r="L63" s="510"/>
      <c r="M63" s="254"/>
      <c r="N63" s="254"/>
      <c r="O63" s="380"/>
      <c r="P63" s="380"/>
      <c r="Q63" s="378"/>
      <c r="R63" s="508"/>
      <c r="S63" s="508"/>
      <c r="T63" s="510"/>
      <c r="U63" s="254"/>
      <c r="V63" s="254"/>
      <c r="W63" s="254"/>
      <c r="X63" s="254"/>
      <c r="Y63" s="254"/>
      <c r="Z63" s="254"/>
      <c r="AA63" s="254"/>
      <c r="AB63" s="254"/>
      <c r="AC63" s="254"/>
      <c r="AD63" s="254"/>
      <c r="AE63" s="254"/>
      <c r="AF63" s="254"/>
      <c r="AG63" s="254"/>
      <c r="AH63" s="254"/>
      <c r="AI63" s="254"/>
      <c r="AJ63" s="254"/>
    </row>
    <row r="64" spans="1:36">
      <c r="A64" s="254"/>
      <c r="B64" s="254" t="s">
        <v>253</v>
      </c>
      <c r="C64" s="254"/>
      <c r="D64" s="254"/>
      <c r="E64" s="254"/>
      <c r="F64" s="254"/>
      <c r="G64" s="254"/>
      <c r="H64" s="254"/>
      <c r="I64" s="254"/>
      <c r="J64" s="378"/>
      <c r="K64" s="508"/>
      <c r="L64" s="510"/>
      <c r="M64" s="254"/>
      <c r="N64" s="254"/>
      <c r="O64" s="380"/>
      <c r="P64" s="380"/>
      <c r="Q64" s="378"/>
      <c r="R64" s="508"/>
      <c r="S64" s="508"/>
      <c r="T64" s="510"/>
      <c r="U64" s="254"/>
      <c r="V64" s="254"/>
      <c r="W64" s="254"/>
      <c r="X64" s="254"/>
      <c r="Y64" s="254"/>
      <c r="Z64" s="254"/>
      <c r="AA64" s="254"/>
      <c r="AB64" s="254"/>
      <c r="AC64" s="254"/>
      <c r="AD64" s="254"/>
      <c r="AE64" s="254"/>
      <c r="AF64" s="254"/>
      <c r="AG64" s="254"/>
      <c r="AH64" s="254"/>
      <c r="AI64" s="254"/>
      <c r="AJ64" s="254"/>
    </row>
    <row r="65" spans="1:36">
      <c r="A65" s="254"/>
      <c r="B65" s="254" t="s">
        <v>227</v>
      </c>
      <c r="C65" s="254"/>
      <c r="D65" s="254"/>
      <c r="E65" s="254"/>
      <c r="F65" s="254"/>
      <c r="G65" s="254"/>
      <c r="H65" s="254"/>
      <c r="I65" s="254"/>
      <c r="J65" s="378"/>
      <c r="K65" s="508"/>
      <c r="L65" s="510"/>
      <c r="M65" s="254"/>
      <c r="N65" s="254"/>
      <c r="O65" s="380"/>
      <c r="P65" s="380"/>
      <c r="Q65" s="378"/>
      <c r="R65" s="508"/>
      <c r="S65" s="508"/>
      <c r="T65" s="510"/>
      <c r="U65" s="254"/>
      <c r="V65" s="254"/>
      <c r="W65" s="254"/>
      <c r="X65" s="254"/>
      <c r="Y65" s="254"/>
      <c r="Z65" s="254"/>
      <c r="AA65" s="254"/>
      <c r="AB65" s="254"/>
      <c r="AC65" s="254"/>
      <c r="AD65" s="254"/>
      <c r="AE65" s="254"/>
      <c r="AF65" s="254"/>
      <c r="AG65" s="254"/>
      <c r="AH65" s="254"/>
      <c r="AI65" s="254"/>
      <c r="AJ65" s="254"/>
    </row>
    <row r="66" spans="1:36">
      <c r="A66" s="254"/>
      <c r="B66" s="254"/>
      <c r="C66" s="254"/>
      <c r="D66" s="254"/>
      <c r="E66" s="254"/>
      <c r="F66" s="254"/>
      <c r="G66" s="254"/>
      <c r="H66" s="254"/>
      <c r="I66" s="254"/>
      <c r="J66" s="378"/>
      <c r="K66" s="508"/>
      <c r="L66" s="510"/>
      <c r="M66" s="254"/>
      <c r="N66" s="254"/>
      <c r="O66" s="380"/>
      <c r="P66" s="380"/>
      <c r="Q66" s="378"/>
      <c r="R66" s="508"/>
      <c r="S66" s="508"/>
      <c r="T66" s="510"/>
      <c r="U66" s="254"/>
      <c r="V66" s="254"/>
      <c r="W66" s="254"/>
      <c r="X66" s="254"/>
      <c r="Y66" s="254"/>
      <c r="Z66" s="254"/>
      <c r="AA66" s="254"/>
      <c r="AB66" s="254"/>
      <c r="AC66" s="254"/>
      <c r="AD66" s="254"/>
      <c r="AE66" s="254"/>
      <c r="AF66" s="254"/>
      <c r="AG66" s="254"/>
      <c r="AH66" s="254"/>
      <c r="AI66" s="254"/>
      <c r="AJ66" s="254"/>
    </row>
    <row r="67" spans="1:36">
      <c r="A67" s="254"/>
      <c r="B67" s="254" t="s">
        <v>226</v>
      </c>
      <c r="C67" s="254"/>
      <c r="D67" s="254"/>
      <c r="E67" s="254"/>
      <c r="F67" s="254"/>
      <c r="G67" s="254"/>
      <c r="H67" s="254"/>
      <c r="I67" s="254"/>
      <c r="J67" s="378"/>
      <c r="K67" s="508"/>
      <c r="L67" s="510"/>
      <c r="M67" s="254"/>
      <c r="N67" s="254"/>
      <c r="O67" s="380"/>
      <c r="P67" s="380"/>
      <c r="Q67" s="378"/>
      <c r="R67" s="508"/>
      <c r="S67" s="508"/>
      <c r="T67" s="510"/>
      <c r="U67" s="254"/>
      <c r="V67" s="254"/>
      <c r="W67" s="254"/>
      <c r="X67" s="254"/>
      <c r="Y67" s="254"/>
      <c r="Z67" s="254"/>
      <c r="AA67" s="254"/>
      <c r="AB67" s="254"/>
      <c r="AC67" s="254"/>
      <c r="AD67" s="254"/>
      <c r="AE67" s="254"/>
      <c r="AF67" s="254"/>
      <c r="AG67" s="254"/>
      <c r="AH67" s="254"/>
      <c r="AI67" s="254"/>
      <c r="AJ67" s="254"/>
    </row>
    <row r="68" spans="1:36">
      <c r="A68" s="254"/>
      <c r="B68" s="254" t="s">
        <v>228</v>
      </c>
      <c r="C68" s="254"/>
      <c r="D68" s="254"/>
      <c r="E68" s="254"/>
      <c r="F68" s="254"/>
      <c r="G68" s="254"/>
      <c r="H68" s="254"/>
      <c r="I68" s="254"/>
      <c r="J68" s="378"/>
      <c r="K68" s="508"/>
      <c r="L68" s="510"/>
      <c r="M68" s="254"/>
      <c r="N68" s="254"/>
      <c r="O68" s="380"/>
      <c r="P68" s="380"/>
      <c r="Q68" s="378"/>
      <c r="R68" s="508"/>
      <c r="S68" s="508"/>
      <c r="T68" s="510"/>
      <c r="U68" s="254"/>
      <c r="V68" s="254"/>
      <c r="W68" s="254"/>
      <c r="X68" s="254"/>
      <c r="Y68" s="254"/>
      <c r="Z68" s="254"/>
      <c r="AA68" s="254"/>
      <c r="AB68" s="254"/>
      <c r="AC68" s="254"/>
      <c r="AD68" s="254"/>
      <c r="AE68" s="254"/>
      <c r="AF68" s="254"/>
      <c r="AG68" s="254"/>
      <c r="AH68" s="254"/>
      <c r="AI68" s="254"/>
      <c r="AJ68" s="254"/>
    </row>
    <row r="69" spans="1:36">
      <c r="A69" s="254"/>
      <c r="C69" s="254"/>
      <c r="D69" s="254"/>
      <c r="E69" s="254"/>
      <c r="F69" s="254"/>
      <c r="G69" s="254"/>
      <c r="H69" s="254"/>
      <c r="I69" s="254"/>
      <c r="J69" s="378"/>
      <c r="K69" s="508"/>
      <c r="L69" s="510"/>
      <c r="M69" s="254"/>
      <c r="N69" s="254"/>
      <c r="O69" s="380"/>
      <c r="P69" s="380"/>
      <c r="Q69" s="378"/>
      <c r="R69" s="508"/>
      <c r="S69" s="508"/>
      <c r="T69" s="510"/>
      <c r="U69" s="254"/>
      <c r="V69" s="254"/>
      <c r="W69" s="254"/>
      <c r="X69" s="254"/>
      <c r="Y69" s="254"/>
      <c r="Z69" s="254"/>
      <c r="AA69" s="254"/>
      <c r="AB69" s="254"/>
      <c r="AC69" s="254"/>
      <c r="AD69" s="254"/>
      <c r="AE69" s="254"/>
      <c r="AF69" s="254"/>
      <c r="AG69" s="254"/>
      <c r="AH69" s="254"/>
      <c r="AI69" s="254"/>
      <c r="AJ69" s="254"/>
    </row>
    <row r="70" spans="1:36">
      <c r="A70" s="254"/>
      <c r="C70" s="254"/>
      <c r="D70" s="254"/>
      <c r="E70" s="254"/>
      <c r="F70" s="254"/>
      <c r="G70" s="254"/>
      <c r="H70" s="254"/>
      <c r="I70" s="254"/>
      <c r="J70" s="378"/>
      <c r="K70" s="508"/>
      <c r="L70" s="510"/>
      <c r="M70" s="254"/>
      <c r="N70" s="254"/>
      <c r="O70" s="380"/>
      <c r="P70" s="380"/>
      <c r="Q70" s="378"/>
      <c r="R70" s="508"/>
      <c r="S70" s="508"/>
      <c r="T70" s="510"/>
      <c r="U70" s="254"/>
      <c r="V70" s="254"/>
      <c r="W70" s="254"/>
      <c r="X70" s="254"/>
      <c r="Y70" s="254"/>
      <c r="Z70" s="254"/>
      <c r="AA70" s="254"/>
      <c r="AB70" s="254"/>
      <c r="AC70" s="254"/>
      <c r="AD70" s="254"/>
      <c r="AE70" s="254"/>
      <c r="AF70" s="254"/>
      <c r="AG70" s="254"/>
      <c r="AH70" s="254"/>
      <c r="AI70" s="254"/>
      <c r="AJ70" s="254"/>
    </row>
    <row r="71" spans="1:36">
      <c r="A71" s="254"/>
      <c r="C71" s="254"/>
      <c r="D71" s="254"/>
      <c r="E71" s="254"/>
      <c r="F71" s="254"/>
      <c r="G71" s="254"/>
      <c r="H71" s="254"/>
      <c r="I71" s="254"/>
      <c r="J71" s="378"/>
      <c r="K71" s="508"/>
      <c r="L71" s="510"/>
      <c r="M71" s="254"/>
      <c r="N71" s="254"/>
      <c r="O71" s="380"/>
      <c r="P71" s="380"/>
      <c r="Q71" s="378"/>
      <c r="R71" s="508"/>
      <c r="S71" s="508"/>
      <c r="T71" s="510"/>
      <c r="U71" s="254"/>
      <c r="V71" s="254"/>
      <c r="W71" s="254"/>
      <c r="X71" s="254"/>
      <c r="Y71" s="254"/>
      <c r="Z71" s="254"/>
      <c r="AA71" s="254"/>
      <c r="AB71" s="254"/>
      <c r="AC71" s="254"/>
      <c r="AD71" s="254"/>
      <c r="AE71" s="254"/>
      <c r="AF71" s="254"/>
      <c r="AG71" s="254"/>
      <c r="AH71" s="254"/>
      <c r="AI71" s="254"/>
      <c r="AJ71" s="254"/>
    </row>
    <row r="72" spans="1:36">
      <c r="A72" s="254"/>
      <c r="C72" s="254"/>
      <c r="D72" s="254"/>
      <c r="E72" s="254"/>
      <c r="F72" s="254"/>
      <c r="G72" s="254"/>
      <c r="H72" s="254"/>
      <c r="I72" s="254"/>
      <c r="J72" s="378"/>
      <c r="K72" s="508"/>
      <c r="L72" s="510"/>
      <c r="M72" s="254"/>
      <c r="N72" s="254"/>
      <c r="O72" s="380"/>
      <c r="P72" s="380"/>
      <c r="Q72" s="378"/>
      <c r="R72" s="508"/>
      <c r="S72" s="508"/>
      <c r="T72" s="510"/>
      <c r="U72" s="254"/>
      <c r="V72" s="254"/>
      <c r="W72" s="254"/>
      <c r="X72" s="254"/>
      <c r="Y72" s="254"/>
      <c r="Z72" s="254"/>
      <c r="AA72" s="254"/>
      <c r="AB72" s="254"/>
      <c r="AC72" s="254"/>
      <c r="AD72" s="254"/>
      <c r="AE72" s="254"/>
      <c r="AF72" s="254"/>
      <c r="AG72" s="254"/>
      <c r="AH72" s="254"/>
      <c r="AI72" s="254"/>
      <c r="AJ72" s="254"/>
    </row>
    <row r="73" spans="1:36">
      <c r="A73" s="254"/>
      <c r="B73" s="254"/>
      <c r="C73" s="254"/>
      <c r="D73" s="254"/>
      <c r="E73" s="254"/>
      <c r="F73" s="254"/>
      <c r="G73" s="254"/>
      <c r="H73" s="254"/>
      <c r="I73" s="254"/>
      <c r="J73" s="378"/>
      <c r="K73" s="508"/>
      <c r="L73" s="510"/>
      <c r="M73" s="254"/>
      <c r="N73" s="254"/>
      <c r="O73" s="380"/>
      <c r="P73" s="380"/>
      <c r="Q73" s="378"/>
      <c r="R73" s="508"/>
      <c r="S73" s="508"/>
      <c r="T73" s="510"/>
      <c r="U73" s="254"/>
      <c r="V73" s="254"/>
      <c r="W73" s="254"/>
      <c r="X73" s="254"/>
      <c r="Y73" s="254"/>
      <c r="Z73" s="254"/>
      <c r="AA73" s="254"/>
      <c r="AB73" s="254"/>
      <c r="AC73" s="254"/>
      <c r="AD73" s="254"/>
      <c r="AE73" s="254"/>
      <c r="AF73" s="254"/>
      <c r="AG73" s="254"/>
      <c r="AH73" s="254"/>
      <c r="AI73" s="254"/>
      <c r="AJ73" s="254"/>
    </row>
    <row r="74" spans="1:36">
      <c r="A74" s="254"/>
      <c r="B74" s="254"/>
      <c r="C74" s="254"/>
      <c r="D74" s="254"/>
      <c r="E74" s="254"/>
      <c r="F74" s="254"/>
      <c r="G74" s="254"/>
      <c r="H74" s="254"/>
      <c r="I74" s="254"/>
      <c r="J74" s="378"/>
      <c r="K74" s="508"/>
      <c r="L74" s="510"/>
      <c r="M74" s="254"/>
      <c r="N74" s="254"/>
      <c r="O74" s="381"/>
      <c r="P74" s="380"/>
      <c r="Q74" s="378"/>
      <c r="R74" s="508"/>
      <c r="S74" s="508"/>
      <c r="T74" s="510"/>
      <c r="U74" s="254"/>
      <c r="V74" s="254"/>
      <c r="W74" s="254"/>
      <c r="X74" s="254"/>
      <c r="Y74" s="254"/>
      <c r="Z74" s="254"/>
      <c r="AA74" s="254"/>
      <c r="AB74" s="254"/>
      <c r="AC74" s="254"/>
      <c r="AD74" s="254"/>
      <c r="AE74" s="254"/>
      <c r="AF74" s="254"/>
      <c r="AG74" s="254"/>
      <c r="AH74" s="254"/>
      <c r="AI74" s="254"/>
      <c r="AJ74" s="254"/>
    </row>
    <row r="75" spans="1:36">
      <c r="A75" s="254"/>
      <c r="B75" s="254"/>
      <c r="C75" s="254"/>
      <c r="D75" s="254"/>
      <c r="E75" s="254"/>
      <c r="F75" s="254"/>
      <c r="G75" s="254"/>
      <c r="H75" s="254"/>
      <c r="I75" s="254"/>
      <c r="J75" s="378"/>
      <c r="K75" s="508"/>
      <c r="L75" s="510"/>
      <c r="M75" s="254"/>
      <c r="N75" s="254"/>
      <c r="O75" s="380"/>
      <c r="P75" s="380"/>
      <c r="Q75" s="378"/>
      <c r="R75" s="508"/>
      <c r="S75" s="508"/>
      <c r="T75" s="510"/>
      <c r="U75" s="254"/>
      <c r="V75" s="254"/>
      <c r="W75" s="254"/>
      <c r="X75" s="254"/>
      <c r="Y75" s="254"/>
      <c r="Z75" s="254"/>
      <c r="AA75" s="254"/>
      <c r="AB75" s="254"/>
      <c r="AC75" s="254"/>
      <c r="AD75" s="254"/>
      <c r="AE75" s="254"/>
      <c r="AF75" s="254"/>
      <c r="AG75" s="254"/>
      <c r="AH75" s="254"/>
      <c r="AI75" s="254"/>
      <c r="AJ75" s="254"/>
    </row>
    <row r="76" spans="1:36">
      <c r="A76" s="254"/>
      <c r="B76" s="254"/>
      <c r="C76" s="254"/>
      <c r="D76" s="254"/>
      <c r="E76" s="254"/>
      <c r="F76" s="254"/>
      <c r="G76" s="254"/>
      <c r="H76" s="254"/>
      <c r="I76" s="254"/>
      <c r="J76" s="378"/>
      <c r="K76" s="508"/>
      <c r="L76" s="510"/>
      <c r="M76" s="254"/>
      <c r="N76" s="254"/>
      <c r="O76" s="380"/>
      <c r="P76" s="380"/>
      <c r="Q76" s="378"/>
      <c r="R76" s="508"/>
      <c r="S76" s="508"/>
      <c r="T76" s="510"/>
      <c r="U76" s="254"/>
      <c r="V76" s="254"/>
      <c r="W76" s="254"/>
      <c r="X76" s="254"/>
      <c r="Y76" s="254"/>
      <c r="Z76" s="254"/>
      <c r="AA76" s="254"/>
      <c r="AB76" s="254"/>
      <c r="AC76" s="254"/>
      <c r="AD76" s="254"/>
      <c r="AE76" s="254"/>
      <c r="AF76" s="254"/>
      <c r="AG76" s="254"/>
      <c r="AH76" s="254"/>
      <c r="AI76" s="254"/>
      <c r="AJ76" s="254"/>
    </row>
    <row r="77" spans="1:36">
      <c r="A77" s="254"/>
      <c r="B77" s="254"/>
      <c r="C77" s="254"/>
      <c r="D77" s="254"/>
      <c r="E77" s="254"/>
      <c r="F77" s="254"/>
      <c r="G77" s="254"/>
      <c r="H77" s="254"/>
      <c r="I77" s="254"/>
      <c r="J77" s="378"/>
      <c r="K77" s="508"/>
      <c r="L77" s="510"/>
      <c r="M77" s="254"/>
      <c r="N77" s="254"/>
      <c r="O77" s="382"/>
      <c r="P77" s="380"/>
      <c r="Q77" s="378"/>
      <c r="R77" s="508"/>
      <c r="S77" s="508"/>
      <c r="T77" s="510"/>
      <c r="U77" s="254"/>
      <c r="V77" s="254"/>
      <c r="W77" s="254"/>
      <c r="X77" s="254"/>
      <c r="Y77" s="254"/>
      <c r="Z77" s="254"/>
      <c r="AA77" s="254"/>
      <c r="AB77" s="254"/>
      <c r="AC77" s="254"/>
      <c r="AD77" s="254"/>
      <c r="AE77" s="254"/>
      <c r="AF77" s="254"/>
      <c r="AG77" s="254"/>
      <c r="AH77" s="254"/>
      <c r="AI77" s="254"/>
      <c r="AJ77" s="254"/>
    </row>
    <row r="78" spans="1:36">
      <c r="A78" s="254"/>
      <c r="B78" s="254"/>
      <c r="C78" s="254"/>
      <c r="D78" s="254"/>
      <c r="E78" s="254"/>
      <c r="F78" s="254"/>
      <c r="G78" s="254"/>
      <c r="H78" s="254"/>
      <c r="I78" s="254"/>
      <c r="J78" s="378"/>
      <c r="K78" s="508"/>
      <c r="L78" s="510"/>
      <c r="M78" s="254"/>
      <c r="N78" s="254"/>
      <c r="P78" s="380"/>
      <c r="Q78" s="378"/>
      <c r="R78" s="508"/>
      <c r="S78" s="508"/>
      <c r="T78" s="510"/>
      <c r="U78" s="254"/>
      <c r="V78" s="254"/>
      <c r="W78" s="254"/>
      <c r="X78" s="254"/>
      <c r="Y78" s="254"/>
      <c r="Z78" s="254"/>
      <c r="AA78" s="254"/>
      <c r="AB78" s="254"/>
      <c r="AC78" s="254"/>
      <c r="AD78" s="254"/>
      <c r="AE78" s="254"/>
      <c r="AF78" s="254"/>
      <c r="AG78" s="254"/>
      <c r="AH78" s="254"/>
      <c r="AI78" s="254"/>
      <c r="AJ78" s="254"/>
    </row>
    <row r="79" spans="1:36">
      <c r="A79" s="254"/>
      <c r="B79" s="254"/>
      <c r="C79" s="254"/>
      <c r="D79" s="254"/>
      <c r="E79" s="254"/>
      <c r="F79" s="254"/>
      <c r="G79" s="254"/>
      <c r="H79" s="254"/>
      <c r="I79" s="254"/>
      <c r="J79" s="378"/>
      <c r="K79" s="254"/>
      <c r="L79" s="254"/>
      <c r="M79" s="254"/>
      <c r="N79" s="254"/>
      <c r="P79" s="380"/>
      <c r="Q79" s="378"/>
      <c r="R79" s="508"/>
      <c r="S79" s="508"/>
      <c r="T79" s="510"/>
      <c r="U79" s="254"/>
      <c r="V79" s="254"/>
      <c r="W79" s="254"/>
      <c r="X79" s="254"/>
      <c r="Y79" s="254"/>
      <c r="Z79" s="254"/>
      <c r="AA79" s="254"/>
      <c r="AB79" s="254"/>
      <c r="AC79" s="254"/>
      <c r="AD79" s="254"/>
      <c r="AE79" s="254"/>
      <c r="AF79" s="254"/>
      <c r="AG79" s="254"/>
      <c r="AH79" s="254"/>
      <c r="AI79" s="254"/>
      <c r="AJ79" s="254"/>
    </row>
    <row r="80" spans="1:36">
      <c r="A80" s="254"/>
      <c r="B80" s="254"/>
      <c r="C80" s="254"/>
      <c r="D80" s="254"/>
      <c r="E80" s="254"/>
      <c r="F80" s="254"/>
      <c r="G80" s="254"/>
      <c r="H80" s="254"/>
      <c r="I80" s="254"/>
      <c r="J80" s="378"/>
      <c r="K80" s="254"/>
      <c r="L80" s="254"/>
      <c r="M80" s="254"/>
      <c r="N80" s="254"/>
      <c r="P80" s="380"/>
      <c r="Q80" s="378"/>
      <c r="R80" s="508"/>
      <c r="S80" s="508"/>
      <c r="T80" s="510"/>
      <c r="U80" s="254"/>
      <c r="V80" s="254"/>
      <c r="W80" s="254"/>
      <c r="X80" s="254"/>
      <c r="Y80" s="254"/>
      <c r="Z80" s="254"/>
      <c r="AA80" s="254"/>
      <c r="AB80" s="254"/>
      <c r="AC80" s="254"/>
      <c r="AD80" s="254"/>
      <c r="AE80" s="254"/>
      <c r="AF80" s="254"/>
      <c r="AG80" s="254"/>
      <c r="AH80" s="254"/>
      <c r="AI80" s="254"/>
      <c r="AJ80" s="254"/>
    </row>
    <row r="81" spans="1:36">
      <c r="A81" s="254"/>
      <c r="B81" s="254"/>
      <c r="C81" s="254"/>
      <c r="D81" s="254"/>
      <c r="E81" s="254"/>
      <c r="F81" s="254"/>
      <c r="G81" s="254"/>
      <c r="H81" s="254"/>
      <c r="I81" s="254"/>
      <c r="J81" s="378"/>
      <c r="K81" s="254"/>
      <c r="L81" s="254"/>
      <c r="M81" s="254"/>
      <c r="N81" s="254"/>
      <c r="P81" s="380"/>
      <c r="Q81" s="378"/>
      <c r="R81" s="508"/>
      <c r="S81" s="508"/>
      <c r="T81" s="510"/>
      <c r="U81" s="254"/>
      <c r="V81" s="254"/>
      <c r="W81" s="254"/>
      <c r="X81" s="254"/>
      <c r="Y81" s="254"/>
      <c r="Z81" s="254"/>
      <c r="AA81" s="254"/>
      <c r="AB81" s="254"/>
      <c r="AC81" s="254"/>
      <c r="AD81" s="254"/>
      <c r="AE81" s="254"/>
      <c r="AF81" s="254"/>
      <c r="AG81" s="254"/>
      <c r="AH81" s="254"/>
      <c r="AI81" s="254"/>
      <c r="AJ81" s="254"/>
    </row>
    <row r="82" spans="1:36">
      <c r="A82" s="254"/>
      <c r="B82" s="254"/>
      <c r="C82" s="254"/>
      <c r="D82" s="254"/>
      <c r="E82" s="254"/>
      <c r="F82" s="254"/>
      <c r="G82" s="254"/>
      <c r="H82" s="254"/>
      <c r="I82" s="254"/>
      <c r="J82" s="378"/>
      <c r="K82" s="254"/>
      <c r="L82" s="254"/>
      <c r="M82" s="254"/>
      <c r="N82" s="254"/>
      <c r="P82" s="380"/>
      <c r="Q82" s="378"/>
      <c r="R82" s="508"/>
      <c r="S82" s="508"/>
      <c r="T82" s="510"/>
      <c r="U82" s="254"/>
      <c r="V82" s="254"/>
      <c r="W82" s="254"/>
      <c r="X82" s="254"/>
      <c r="Y82" s="254"/>
      <c r="Z82" s="254"/>
      <c r="AA82" s="254"/>
      <c r="AB82" s="254"/>
      <c r="AC82" s="254"/>
      <c r="AD82" s="254"/>
      <c r="AE82" s="254"/>
      <c r="AF82" s="254"/>
      <c r="AG82" s="254"/>
      <c r="AH82" s="254"/>
      <c r="AI82" s="254"/>
      <c r="AJ82" s="254"/>
    </row>
    <row r="83" spans="1:36">
      <c r="A83" s="254"/>
      <c r="B83" s="254"/>
      <c r="C83" s="254"/>
      <c r="D83" s="254"/>
      <c r="E83" s="254"/>
      <c r="F83" s="254"/>
      <c r="G83" s="254"/>
      <c r="H83" s="254"/>
      <c r="I83" s="254"/>
      <c r="J83" s="378"/>
      <c r="K83" s="254"/>
      <c r="L83" s="254"/>
      <c r="M83" s="254"/>
      <c r="N83" s="254"/>
      <c r="P83" s="380"/>
      <c r="Q83" s="378"/>
      <c r="R83" s="508"/>
      <c r="S83" s="508"/>
      <c r="T83" s="510"/>
      <c r="U83" s="254"/>
      <c r="V83" s="254"/>
      <c r="W83" s="254"/>
      <c r="X83" s="254"/>
      <c r="Y83" s="254"/>
      <c r="Z83" s="254"/>
      <c r="AA83" s="254"/>
      <c r="AB83" s="254"/>
      <c r="AC83" s="254"/>
      <c r="AD83" s="254"/>
      <c r="AE83" s="254"/>
      <c r="AF83" s="254"/>
      <c r="AG83" s="254"/>
      <c r="AH83" s="254"/>
      <c r="AI83" s="254"/>
      <c r="AJ83" s="254"/>
    </row>
    <row r="84" spans="1:36">
      <c r="A84" s="254"/>
      <c r="B84" s="254"/>
      <c r="C84" s="254"/>
      <c r="D84" s="254"/>
      <c r="E84" s="254"/>
      <c r="F84" s="254"/>
      <c r="G84" s="254"/>
      <c r="H84" s="254"/>
      <c r="I84" s="254"/>
      <c r="J84" s="378"/>
      <c r="K84" s="254"/>
      <c r="L84" s="254"/>
      <c r="M84" s="254"/>
      <c r="N84" s="254"/>
      <c r="P84" s="381"/>
      <c r="Q84" s="378"/>
      <c r="R84" s="508"/>
      <c r="S84" s="508"/>
      <c r="T84" s="510"/>
      <c r="U84" s="254"/>
      <c r="V84" s="254"/>
      <c r="W84" s="254"/>
      <c r="X84" s="254"/>
      <c r="Y84" s="254"/>
      <c r="Z84" s="254"/>
      <c r="AA84" s="254"/>
      <c r="AB84" s="254"/>
      <c r="AC84" s="254"/>
      <c r="AD84" s="254"/>
      <c r="AE84" s="254"/>
      <c r="AF84" s="254"/>
      <c r="AG84" s="254"/>
      <c r="AH84" s="254"/>
      <c r="AI84" s="254"/>
      <c r="AJ84" s="254"/>
    </row>
    <row r="85" spans="1:36">
      <c r="A85" s="254"/>
      <c r="B85" s="254"/>
      <c r="C85" s="254"/>
      <c r="D85" s="254"/>
      <c r="E85" s="254"/>
      <c r="F85" s="254"/>
      <c r="G85" s="254"/>
      <c r="H85" s="254"/>
      <c r="I85" s="254"/>
      <c r="J85" s="378"/>
      <c r="K85" s="254"/>
      <c r="L85" s="254"/>
      <c r="M85" s="254"/>
      <c r="N85" s="254"/>
      <c r="P85" s="380"/>
      <c r="Q85" s="378"/>
      <c r="R85" s="508"/>
      <c r="S85" s="508"/>
      <c r="T85" s="510"/>
      <c r="U85" s="254"/>
      <c r="V85" s="254"/>
      <c r="W85" s="254"/>
      <c r="X85" s="254"/>
      <c r="Y85" s="254"/>
      <c r="Z85" s="254"/>
      <c r="AA85" s="254"/>
      <c r="AB85" s="254"/>
      <c r="AC85" s="254"/>
      <c r="AD85" s="254"/>
      <c r="AE85" s="254"/>
      <c r="AF85" s="254"/>
      <c r="AG85" s="254"/>
      <c r="AH85" s="254"/>
      <c r="AI85" s="254"/>
      <c r="AJ85" s="254"/>
    </row>
    <row r="86" spans="1:36">
      <c r="A86" s="254"/>
      <c r="B86" s="254"/>
      <c r="C86" s="254"/>
      <c r="D86" s="254"/>
      <c r="E86" s="254"/>
      <c r="F86" s="254"/>
      <c r="G86" s="254"/>
      <c r="H86" s="254"/>
      <c r="I86" s="254"/>
      <c r="J86" s="378"/>
      <c r="K86" s="254"/>
      <c r="L86" s="254"/>
      <c r="M86" s="254"/>
      <c r="N86" s="254"/>
      <c r="P86" s="380"/>
      <c r="Q86" s="378"/>
      <c r="R86" s="508"/>
      <c r="S86" s="508"/>
      <c r="T86" s="510"/>
      <c r="U86" s="254"/>
      <c r="V86" s="254"/>
      <c r="W86" s="254"/>
      <c r="X86" s="254"/>
      <c r="Y86" s="254"/>
      <c r="Z86" s="254"/>
      <c r="AA86" s="254"/>
      <c r="AB86" s="254"/>
      <c r="AC86" s="254"/>
      <c r="AD86" s="254"/>
      <c r="AE86" s="254"/>
      <c r="AF86" s="254"/>
      <c r="AG86" s="254"/>
      <c r="AH86" s="254"/>
      <c r="AI86" s="254"/>
      <c r="AJ86" s="254"/>
    </row>
    <row r="87" spans="1:36">
      <c r="A87" s="254"/>
      <c r="B87" s="254"/>
      <c r="C87" s="254"/>
      <c r="D87" s="254"/>
      <c r="E87" s="254"/>
      <c r="F87" s="254"/>
      <c r="G87" s="254"/>
      <c r="H87" s="254"/>
      <c r="I87" s="254"/>
      <c r="J87" s="378"/>
      <c r="K87" s="254"/>
      <c r="L87" s="254"/>
      <c r="M87" s="254"/>
      <c r="N87" s="254"/>
      <c r="P87" s="382"/>
      <c r="Q87" s="378"/>
      <c r="R87" s="508"/>
      <c r="S87" s="508"/>
      <c r="T87" s="510"/>
      <c r="U87" s="254"/>
      <c r="V87" s="254"/>
      <c r="W87" s="254"/>
      <c r="X87" s="254"/>
      <c r="Y87" s="254"/>
      <c r="Z87" s="254"/>
      <c r="AA87" s="254"/>
      <c r="AB87" s="254"/>
      <c r="AC87" s="254"/>
      <c r="AD87" s="254"/>
      <c r="AE87" s="254"/>
      <c r="AF87" s="254"/>
      <c r="AG87" s="254"/>
      <c r="AH87" s="254"/>
      <c r="AI87" s="254"/>
      <c r="AJ87" s="254"/>
    </row>
    <row r="88" spans="1:36">
      <c r="A88" s="254"/>
      <c r="B88" s="254"/>
      <c r="C88" s="254"/>
      <c r="D88" s="254"/>
      <c r="E88" s="254"/>
      <c r="F88" s="254"/>
      <c r="G88" s="254"/>
      <c r="H88" s="254"/>
      <c r="I88" s="254"/>
      <c r="J88" s="378"/>
      <c r="K88" s="254"/>
      <c r="L88" s="254"/>
      <c r="M88" s="254"/>
      <c r="N88" s="254"/>
      <c r="P88" s="377"/>
      <c r="Q88" s="378"/>
      <c r="R88" s="508"/>
      <c r="S88" s="508"/>
      <c r="T88" s="510"/>
      <c r="U88" s="254"/>
      <c r="V88" s="254"/>
      <c r="W88" s="254"/>
      <c r="X88" s="254"/>
      <c r="Y88" s="254"/>
      <c r="Z88" s="254"/>
      <c r="AA88" s="254"/>
      <c r="AB88" s="254"/>
      <c r="AC88" s="254"/>
      <c r="AD88" s="254"/>
      <c r="AE88" s="254"/>
      <c r="AF88" s="254"/>
      <c r="AG88" s="254"/>
      <c r="AH88" s="254"/>
      <c r="AI88" s="254"/>
      <c r="AJ88" s="254"/>
    </row>
    <row r="89" spans="1:36">
      <c r="A89" s="254"/>
      <c r="B89" s="254"/>
      <c r="C89" s="254"/>
      <c r="D89" s="254"/>
      <c r="E89" s="254"/>
      <c r="F89" s="254"/>
      <c r="G89" s="254"/>
      <c r="H89" s="254"/>
      <c r="I89" s="254"/>
      <c r="J89" s="378"/>
      <c r="K89" s="254"/>
      <c r="L89" s="254"/>
      <c r="M89" s="254"/>
      <c r="N89" s="254"/>
      <c r="P89" s="377"/>
      <c r="Q89" s="378"/>
      <c r="R89" s="508"/>
      <c r="S89" s="508"/>
      <c r="T89" s="510"/>
      <c r="U89" s="254"/>
      <c r="V89" s="254"/>
      <c r="W89" s="254"/>
      <c r="X89" s="254"/>
      <c r="Y89" s="254"/>
      <c r="Z89" s="254"/>
      <c r="AA89" s="254"/>
      <c r="AB89" s="254"/>
      <c r="AC89" s="254"/>
      <c r="AD89" s="254"/>
      <c r="AE89" s="254"/>
      <c r="AF89" s="254"/>
      <c r="AG89" s="254"/>
      <c r="AH89" s="254"/>
      <c r="AI89" s="254"/>
      <c r="AJ89" s="254"/>
    </row>
    <row r="90" spans="1:36">
      <c r="A90" s="254"/>
      <c r="B90" s="254"/>
      <c r="C90" s="254"/>
      <c r="D90" s="254"/>
      <c r="E90" s="254"/>
      <c r="F90" s="254"/>
      <c r="G90" s="254"/>
      <c r="H90" s="254"/>
      <c r="I90" s="254"/>
      <c r="J90" s="378"/>
      <c r="K90" s="254"/>
      <c r="L90" s="254"/>
      <c r="M90" s="254"/>
      <c r="N90" s="254"/>
      <c r="P90" s="377"/>
      <c r="Q90" s="254"/>
      <c r="R90" s="508"/>
      <c r="S90" s="508"/>
      <c r="T90" s="510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</row>
    <row r="91" spans="1:36">
      <c r="A91" s="254"/>
      <c r="B91" s="254"/>
      <c r="C91" s="254"/>
      <c r="D91" s="254"/>
      <c r="E91" s="254"/>
      <c r="F91" s="254"/>
      <c r="G91" s="254"/>
      <c r="H91" s="254"/>
      <c r="I91" s="254"/>
      <c r="J91" s="378"/>
      <c r="K91" s="254"/>
      <c r="L91" s="254"/>
      <c r="M91" s="254"/>
      <c r="N91" s="254"/>
      <c r="P91" s="377"/>
      <c r="Q91" s="254"/>
      <c r="R91" s="508"/>
      <c r="S91" s="508"/>
      <c r="T91" s="510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</row>
    <row r="92" spans="1:36">
      <c r="A92" s="254"/>
      <c r="B92" s="254"/>
      <c r="C92" s="254"/>
      <c r="D92" s="254"/>
      <c r="E92" s="254"/>
      <c r="F92" s="254"/>
      <c r="G92" s="254"/>
      <c r="H92" s="254"/>
      <c r="I92" s="254"/>
      <c r="J92" s="378"/>
      <c r="K92" s="254"/>
      <c r="L92" s="254"/>
      <c r="M92" s="254"/>
      <c r="N92" s="254"/>
      <c r="P92" s="377"/>
      <c r="Q92" s="254"/>
      <c r="R92" s="508"/>
      <c r="S92" s="508"/>
      <c r="T92" s="510"/>
      <c r="U92" s="254"/>
      <c r="V92" s="254"/>
      <c r="W92" s="254"/>
      <c r="X92" s="254"/>
      <c r="Y92" s="254"/>
      <c r="Z92" s="254"/>
      <c r="AA92" s="254"/>
      <c r="AB92" s="254"/>
      <c r="AC92" s="254"/>
      <c r="AD92" s="254"/>
      <c r="AE92" s="254"/>
      <c r="AF92" s="254"/>
      <c r="AG92" s="254"/>
      <c r="AH92" s="254"/>
      <c r="AI92" s="254"/>
      <c r="AJ92" s="254"/>
    </row>
    <row r="93" spans="1:36">
      <c r="A93" s="254"/>
      <c r="B93" s="254"/>
      <c r="C93" s="254"/>
      <c r="D93" s="254"/>
      <c r="E93" s="254"/>
      <c r="F93" s="254"/>
      <c r="G93" s="254"/>
      <c r="H93" s="254"/>
      <c r="I93" s="254"/>
      <c r="J93" s="378"/>
      <c r="K93" s="254"/>
      <c r="L93" s="254"/>
      <c r="M93" s="254"/>
      <c r="N93" s="254"/>
      <c r="P93" s="377"/>
      <c r="Q93" s="254"/>
      <c r="R93" s="508"/>
      <c r="S93" s="508"/>
      <c r="T93" s="510"/>
      <c r="U93" s="254"/>
      <c r="V93" s="254"/>
      <c r="W93" s="254"/>
      <c r="X93" s="254"/>
      <c r="Y93" s="254"/>
      <c r="Z93" s="254"/>
      <c r="AA93" s="254"/>
      <c r="AB93" s="254"/>
      <c r="AC93" s="254"/>
      <c r="AD93" s="254"/>
      <c r="AE93" s="254"/>
      <c r="AF93" s="254"/>
      <c r="AG93" s="254"/>
      <c r="AH93" s="254"/>
      <c r="AI93" s="254"/>
      <c r="AJ93" s="254"/>
    </row>
    <row r="94" spans="1:36" ht="18.75">
      <c r="A94" s="254"/>
      <c r="B94" s="254"/>
      <c r="C94" s="254"/>
      <c r="D94" s="254"/>
      <c r="E94" s="254"/>
      <c r="F94" s="254"/>
      <c r="G94" s="254"/>
      <c r="H94" s="254"/>
      <c r="I94" s="378"/>
      <c r="J94" s="378"/>
      <c r="K94" s="378"/>
      <c r="L94" s="353"/>
      <c r="M94" s="400"/>
      <c r="N94" s="254"/>
      <c r="P94" s="377"/>
      <c r="Q94" s="254"/>
      <c r="R94" s="508"/>
      <c r="S94" s="508"/>
      <c r="T94" s="510"/>
      <c r="U94" s="254"/>
      <c r="V94" s="254"/>
      <c r="W94" s="254"/>
      <c r="X94" s="254"/>
      <c r="Y94" s="254"/>
      <c r="Z94" s="254"/>
      <c r="AA94" s="254"/>
      <c r="AB94" s="254"/>
      <c r="AC94" s="254"/>
      <c r="AD94" s="254"/>
      <c r="AE94" s="254"/>
      <c r="AF94" s="254"/>
      <c r="AG94" s="254"/>
      <c r="AH94" s="254"/>
      <c r="AI94" s="254"/>
      <c r="AJ94" s="254"/>
    </row>
    <row r="95" spans="1:36">
      <c r="A95" s="254"/>
      <c r="B95" s="254"/>
      <c r="C95" s="254"/>
      <c r="D95" s="254"/>
      <c r="E95" s="254"/>
      <c r="F95" s="254"/>
      <c r="G95" s="254"/>
      <c r="H95" s="254"/>
      <c r="I95" s="378"/>
      <c r="J95" s="378"/>
      <c r="K95" s="378"/>
      <c r="L95" s="254"/>
      <c r="M95" s="400"/>
      <c r="N95" s="254"/>
      <c r="P95" s="377"/>
      <c r="Q95" s="254"/>
      <c r="R95" s="508"/>
      <c r="S95" s="508"/>
      <c r="T95" s="510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</row>
    <row r="96" spans="1:36">
      <c r="A96" s="254"/>
      <c r="B96" s="254"/>
      <c r="C96" s="254"/>
      <c r="D96" s="254"/>
      <c r="E96" s="254"/>
      <c r="F96" s="254"/>
      <c r="G96" s="254"/>
      <c r="H96" s="254"/>
      <c r="I96" s="378"/>
      <c r="J96" s="378"/>
      <c r="K96" s="378"/>
      <c r="L96" s="254"/>
      <c r="M96" s="255"/>
      <c r="N96" s="254"/>
      <c r="P96" s="377"/>
      <c r="Q96" s="254"/>
      <c r="R96" s="508"/>
      <c r="S96" s="508"/>
      <c r="T96" s="510"/>
      <c r="U96" s="254"/>
      <c r="V96" s="254"/>
      <c r="W96" s="254"/>
      <c r="X96" s="254"/>
      <c r="Y96" s="254"/>
      <c r="Z96" s="254"/>
      <c r="AA96" s="254"/>
      <c r="AB96" s="254"/>
      <c r="AC96" s="254"/>
      <c r="AD96" s="254"/>
      <c r="AE96" s="254"/>
      <c r="AF96" s="254"/>
      <c r="AG96" s="254"/>
      <c r="AH96" s="254"/>
      <c r="AI96" s="254"/>
      <c r="AJ96" s="254"/>
    </row>
    <row r="97" spans="1:36">
      <c r="A97" s="254"/>
      <c r="B97" s="254"/>
      <c r="C97" s="254"/>
      <c r="D97" s="254"/>
      <c r="E97" s="254"/>
      <c r="F97" s="254"/>
      <c r="G97" s="254"/>
      <c r="H97" s="254"/>
      <c r="I97" s="378"/>
      <c r="J97" s="378"/>
      <c r="K97" s="378"/>
      <c r="L97" s="254"/>
      <c r="M97" s="255"/>
      <c r="N97" s="254"/>
      <c r="P97" s="377"/>
      <c r="Q97" s="254"/>
      <c r="R97" s="508"/>
      <c r="S97" s="508"/>
      <c r="T97" s="510"/>
      <c r="U97" s="254"/>
      <c r="V97" s="254"/>
      <c r="W97" s="254"/>
      <c r="X97" s="254"/>
      <c r="Y97" s="254"/>
      <c r="Z97" s="254"/>
      <c r="AA97" s="254"/>
      <c r="AB97" s="254"/>
      <c r="AC97" s="254"/>
      <c r="AD97" s="254"/>
      <c r="AE97" s="254"/>
      <c r="AF97" s="254"/>
      <c r="AG97" s="254"/>
      <c r="AH97" s="254"/>
      <c r="AI97" s="254"/>
      <c r="AJ97" s="254"/>
    </row>
    <row r="98" spans="1:36">
      <c r="A98" s="254"/>
      <c r="B98" s="254"/>
      <c r="C98" s="254"/>
      <c r="D98" s="254"/>
      <c r="E98" s="254"/>
      <c r="F98" s="254"/>
      <c r="G98" s="254"/>
      <c r="H98" s="254"/>
      <c r="I98" s="378"/>
      <c r="J98" s="378"/>
      <c r="K98" s="378"/>
      <c r="L98" s="254"/>
      <c r="M98" s="255"/>
      <c r="N98" s="254"/>
      <c r="P98" s="377"/>
      <c r="Q98" s="254"/>
      <c r="R98" s="508"/>
      <c r="S98" s="508"/>
      <c r="T98" s="510"/>
      <c r="U98" s="254"/>
      <c r="V98" s="254"/>
      <c r="W98" s="254"/>
      <c r="X98" s="254"/>
      <c r="Y98" s="254"/>
      <c r="Z98" s="254"/>
      <c r="AA98" s="254"/>
      <c r="AB98" s="254"/>
      <c r="AC98" s="254"/>
      <c r="AD98" s="254"/>
      <c r="AE98" s="254"/>
      <c r="AF98" s="254"/>
      <c r="AG98" s="254"/>
      <c r="AH98" s="254"/>
      <c r="AI98" s="254"/>
      <c r="AJ98" s="254"/>
    </row>
    <row r="99" spans="1:36">
      <c r="A99" s="254"/>
      <c r="B99" s="254"/>
      <c r="C99" s="254"/>
      <c r="D99" s="254"/>
      <c r="E99" s="254"/>
      <c r="F99" s="254"/>
      <c r="G99" s="254"/>
      <c r="H99" s="254"/>
      <c r="I99" s="378"/>
      <c r="J99" s="378"/>
      <c r="K99" s="378"/>
      <c r="L99" s="254"/>
      <c r="M99" s="255"/>
      <c r="N99" s="254"/>
      <c r="P99" s="377"/>
      <c r="Q99" s="254"/>
      <c r="R99" s="508"/>
      <c r="S99" s="508"/>
      <c r="T99" s="510"/>
      <c r="U99" s="254"/>
      <c r="V99" s="254"/>
      <c r="W99" s="254"/>
      <c r="X99" s="254"/>
      <c r="Y99" s="254"/>
      <c r="Z99" s="254"/>
      <c r="AA99" s="254"/>
      <c r="AB99" s="254"/>
      <c r="AC99" s="254"/>
      <c r="AD99" s="254"/>
      <c r="AE99" s="254"/>
      <c r="AF99" s="254"/>
      <c r="AG99" s="254"/>
      <c r="AH99" s="254"/>
      <c r="AI99" s="254"/>
      <c r="AJ99" s="254"/>
    </row>
    <row r="100" spans="1:36">
      <c r="A100" s="254"/>
      <c r="B100" s="254"/>
      <c r="C100" s="254"/>
      <c r="D100" s="254"/>
      <c r="E100" s="254"/>
      <c r="F100" s="254"/>
      <c r="G100" s="254"/>
      <c r="H100" s="254"/>
      <c r="I100" s="378"/>
      <c r="J100" s="378"/>
      <c r="K100" s="378"/>
      <c r="L100" s="254"/>
      <c r="M100" s="255"/>
      <c r="N100" s="254"/>
      <c r="P100" s="377"/>
      <c r="Q100" s="254"/>
      <c r="R100" s="508"/>
      <c r="S100" s="508"/>
      <c r="T100" s="510"/>
      <c r="U100" s="254"/>
      <c r="V100" s="254"/>
      <c r="W100" s="254"/>
      <c r="X100" s="254"/>
      <c r="Y100" s="254"/>
      <c r="Z100" s="254"/>
      <c r="AA100" s="254"/>
      <c r="AB100" s="254"/>
      <c r="AC100" s="254"/>
      <c r="AD100" s="254"/>
      <c r="AE100" s="254"/>
      <c r="AF100" s="254"/>
      <c r="AG100" s="254"/>
      <c r="AH100" s="254"/>
      <c r="AI100" s="254"/>
      <c r="AJ100" s="254"/>
    </row>
    <row r="101" spans="1:36">
      <c r="A101" s="254"/>
      <c r="B101" s="254"/>
      <c r="C101" s="254"/>
      <c r="D101" s="254"/>
      <c r="E101" s="254"/>
      <c r="F101" s="254"/>
      <c r="G101" s="254"/>
      <c r="H101" s="254"/>
      <c r="I101" s="378"/>
      <c r="J101" s="378"/>
      <c r="K101" s="378"/>
      <c r="L101" s="254"/>
      <c r="M101" s="255"/>
      <c r="N101" s="254"/>
      <c r="P101" s="377"/>
      <c r="Q101" s="254"/>
      <c r="R101" s="508"/>
      <c r="S101" s="508"/>
      <c r="T101" s="510"/>
      <c r="U101" s="254"/>
      <c r="V101" s="254"/>
      <c r="W101" s="254"/>
      <c r="X101" s="254"/>
      <c r="Y101" s="254"/>
      <c r="Z101" s="254"/>
      <c r="AA101" s="254"/>
      <c r="AB101" s="254"/>
      <c r="AC101" s="254"/>
      <c r="AD101" s="254"/>
      <c r="AE101" s="254"/>
      <c r="AF101" s="254"/>
      <c r="AG101" s="254"/>
      <c r="AH101" s="254"/>
      <c r="AI101" s="254"/>
      <c r="AJ101" s="254"/>
    </row>
    <row r="102" spans="1:36">
      <c r="A102" s="254"/>
      <c r="B102" s="254"/>
      <c r="C102" s="254"/>
      <c r="D102" s="254"/>
      <c r="E102" s="254"/>
      <c r="F102" s="254"/>
      <c r="G102" s="254"/>
      <c r="H102" s="254"/>
      <c r="I102" s="378"/>
      <c r="J102" s="378"/>
      <c r="K102" s="378"/>
      <c r="L102" s="254"/>
      <c r="M102" s="255"/>
      <c r="N102" s="254"/>
      <c r="P102" s="377"/>
      <c r="Q102" s="254"/>
      <c r="R102" s="254"/>
      <c r="S102" s="254"/>
      <c r="T102" s="254"/>
      <c r="U102" s="254"/>
      <c r="V102" s="254"/>
      <c r="W102" s="254"/>
      <c r="X102" s="254"/>
      <c r="Y102" s="254"/>
      <c r="Z102" s="254"/>
      <c r="AA102" s="254"/>
      <c r="AB102" s="254"/>
      <c r="AC102" s="254"/>
      <c r="AD102" s="254"/>
      <c r="AE102" s="254"/>
      <c r="AF102" s="254"/>
      <c r="AG102" s="254"/>
      <c r="AH102" s="254"/>
      <c r="AI102" s="254"/>
      <c r="AJ102" s="254"/>
    </row>
    <row r="103" spans="1:36">
      <c r="A103" s="254"/>
      <c r="B103" s="254"/>
      <c r="C103" s="254"/>
      <c r="D103" s="254"/>
      <c r="E103" s="254"/>
      <c r="F103" s="254"/>
      <c r="G103" s="254"/>
      <c r="H103" s="254"/>
      <c r="I103" s="378"/>
      <c r="J103" s="378"/>
      <c r="K103" s="378"/>
      <c r="L103" s="254"/>
      <c r="M103" s="255"/>
      <c r="N103" s="254"/>
      <c r="P103" s="377"/>
      <c r="Q103" s="254"/>
      <c r="R103" s="254"/>
      <c r="S103" s="254"/>
      <c r="T103" s="254"/>
      <c r="U103" s="254"/>
      <c r="V103" s="254"/>
      <c r="W103" s="254"/>
      <c r="X103" s="254"/>
      <c r="Y103" s="254"/>
      <c r="Z103" s="254"/>
      <c r="AA103" s="254"/>
      <c r="AB103" s="254"/>
      <c r="AC103" s="254"/>
      <c r="AD103" s="254"/>
      <c r="AE103" s="254"/>
      <c r="AF103" s="254"/>
      <c r="AG103" s="254"/>
      <c r="AH103" s="254"/>
      <c r="AI103" s="254"/>
      <c r="AJ103" s="254"/>
    </row>
    <row r="104" spans="1:36">
      <c r="A104" s="254"/>
      <c r="B104" s="254"/>
      <c r="C104" s="254"/>
      <c r="D104" s="254"/>
      <c r="E104" s="254"/>
      <c r="F104" s="254"/>
      <c r="G104" s="254"/>
      <c r="H104" s="254"/>
      <c r="I104" s="378"/>
      <c r="J104" s="378"/>
      <c r="K104" s="378"/>
      <c r="L104" s="254"/>
      <c r="M104" s="255"/>
      <c r="N104" s="254"/>
      <c r="P104" s="377"/>
      <c r="Q104" s="254"/>
      <c r="R104" s="254"/>
      <c r="S104" s="254"/>
      <c r="T104" s="254"/>
      <c r="U104" s="254"/>
      <c r="V104" s="254"/>
      <c r="W104" s="254"/>
      <c r="X104" s="254"/>
      <c r="Y104" s="254"/>
      <c r="Z104" s="254"/>
      <c r="AA104" s="254"/>
      <c r="AB104" s="254"/>
      <c r="AC104" s="254"/>
      <c r="AD104" s="254"/>
      <c r="AE104" s="254"/>
      <c r="AF104" s="254"/>
      <c r="AG104" s="254"/>
      <c r="AH104" s="254"/>
      <c r="AI104" s="254"/>
      <c r="AJ104" s="254"/>
    </row>
    <row r="105" spans="1:36">
      <c r="A105" s="254"/>
      <c r="B105" s="254"/>
      <c r="C105" s="254"/>
      <c r="D105" s="254"/>
      <c r="E105" s="254"/>
      <c r="F105" s="254"/>
      <c r="G105" s="254"/>
      <c r="H105" s="254"/>
      <c r="I105" s="378"/>
      <c r="J105" s="378"/>
      <c r="K105" s="378"/>
      <c r="L105" s="254"/>
      <c r="M105" s="255"/>
      <c r="N105" s="254"/>
      <c r="P105" s="377"/>
      <c r="Q105" s="254"/>
      <c r="R105" s="254"/>
      <c r="S105" s="254"/>
      <c r="T105" s="254"/>
      <c r="U105" s="254"/>
      <c r="V105" s="254"/>
      <c r="W105" s="254"/>
      <c r="X105" s="254"/>
      <c r="Y105" s="254"/>
      <c r="Z105" s="254"/>
      <c r="AA105" s="254"/>
      <c r="AB105" s="254"/>
      <c r="AC105" s="254"/>
      <c r="AD105" s="254"/>
      <c r="AE105" s="254"/>
      <c r="AF105" s="254"/>
      <c r="AG105" s="254"/>
      <c r="AH105" s="254"/>
      <c r="AI105" s="254"/>
      <c r="AJ105" s="254"/>
    </row>
    <row r="106" spans="1:36">
      <c r="A106" s="254"/>
      <c r="B106" s="254"/>
      <c r="C106" s="254"/>
      <c r="D106" s="254"/>
      <c r="E106" s="254"/>
      <c r="F106" s="254"/>
      <c r="G106" s="254"/>
      <c r="H106" s="254"/>
      <c r="I106" s="378"/>
      <c r="J106" s="378"/>
      <c r="K106" s="378"/>
      <c r="L106" s="254"/>
      <c r="M106" s="255"/>
      <c r="N106" s="254"/>
      <c r="P106" s="254"/>
      <c r="Q106" s="254"/>
      <c r="R106" s="254"/>
      <c r="S106" s="254"/>
      <c r="T106" s="254"/>
      <c r="U106" s="254"/>
      <c r="V106" s="254"/>
      <c r="W106" s="254"/>
      <c r="X106" s="254"/>
      <c r="Y106" s="254"/>
      <c r="Z106" s="254"/>
      <c r="AA106" s="254"/>
      <c r="AB106" s="254"/>
      <c r="AC106" s="254"/>
      <c r="AD106" s="254"/>
      <c r="AE106" s="254"/>
      <c r="AF106" s="254"/>
      <c r="AG106" s="254"/>
      <c r="AH106" s="254"/>
      <c r="AI106" s="254"/>
      <c r="AJ106" s="254"/>
    </row>
    <row r="107" spans="1:36">
      <c r="A107" s="254"/>
      <c r="B107" s="254"/>
      <c r="C107" s="254"/>
      <c r="D107" s="254"/>
      <c r="E107" s="254"/>
      <c r="F107" s="254"/>
      <c r="G107" s="254"/>
      <c r="H107" s="254"/>
      <c r="I107" s="378"/>
      <c r="J107" s="378"/>
      <c r="K107" s="378"/>
      <c r="L107" s="254"/>
      <c r="M107" s="255"/>
      <c r="N107" s="254"/>
      <c r="P107" s="254"/>
      <c r="Q107" s="254"/>
      <c r="R107" s="254"/>
      <c r="S107" s="254"/>
      <c r="T107" s="254"/>
      <c r="U107" s="254"/>
      <c r="V107" s="254"/>
      <c r="W107" s="254"/>
      <c r="X107" s="254"/>
      <c r="Y107" s="254"/>
      <c r="Z107" s="254"/>
      <c r="AA107" s="254"/>
      <c r="AB107" s="254"/>
      <c r="AC107" s="254"/>
      <c r="AD107" s="254"/>
      <c r="AE107" s="254"/>
      <c r="AF107" s="254"/>
      <c r="AG107" s="254"/>
      <c r="AH107" s="254"/>
      <c r="AI107" s="254"/>
      <c r="AJ107" s="254"/>
    </row>
    <row r="108" spans="1:36">
      <c r="A108" s="254"/>
      <c r="B108" s="254"/>
      <c r="C108" s="254"/>
      <c r="D108" s="254"/>
      <c r="E108" s="254"/>
      <c r="F108" s="254"/>
      <c r="G108" s="254"/>
      <c r="H108" s="254"/>
      <c r="I108" s="378"/>
      <c r="J108" s="378"/>
      <c r="K108" s="378"/>
      <c r="L108" s="254"/>
      <c r="M108" s="255"/>
      <c r="N108" s="254"/>
      <c r="P108" s="254"/>
      <c r="Q108" s="254"/>
      <c r="R108" s="254"/>
      <c r="S108" s="254"/>
      <c r="T108" s="254"/>
      <c r="U108" s="254"/>
      <c r="V108" s="254"/>
      <c r="W108" s="254"/>
      <c r="X108" s="254"/>
      <c r="Y108" s="254"/>
      <c r="Z108" s="254"/>
      <c r="AA108" s="254"/>
      <c r="AB108" s="254"/>
      <c r="AC108" s="254"/>
      <c r="AD108" s="254"/>
      <c r="AE108" s="254"/>
      <c r="AF108" s="254"/>
      <c r="AG108" s="254"/>
      <c r="AH108" s="254"/>
      <c r="AI108" s="254"/>
      <c r="AJ108" s="254"/>
    </row>
    <row r="109" spans="1:36">
      <c r="A109" s="254"/>
      <c r="B109" s="254"/>
      <c r="C109" s="254"/>
      <c r="D109" s="254"/>
      <c r="E109" s="254"/>
      <c r="F109" s="254"/>
      <c r="G109" s="254"/>
      <c r="H109" s="254"/>
      <c r="I109" s="378"/>
      <c r="J109" s="378"/>
      <c r="K109" s="378"/>
      <c r="L109" s="255"/>
      <c r="M109" s="255"/>
      <c r="N109" s="254"/>
      <c r="P109" s="254"/>
      <c r="Q109" s="254"/>
      <c r="R109" s="254"/>
      <c r="S109" s="254"/>
      <c r="T109" s="254"/>
      <c r="U109" s="254"/>
      <c r="V109" s="254"/>
      <c r="W109" s="254"/>
      <c r="X109" s="254"/>
      <c r="Y109" s="254"/>
      <c r="Z109" s="254"/>
      <c r="AA109" s="254"/>
      <c r="AB109" s="254"/>
      <c r="AC109" s="254"/>
      <c r="AD109" s="254"/>
      <c r="AE109" s="254"/>
      <c r="AF109" s="254"/>
      <c r="AG109" s="254"/>
      <c r="AH109" s="254"/>
      <c r="AI109" s="254"/>
      <c r="AJ109" s="254"/>
    </row>
    <row r="110" spans="1:36">
      <c r="A110" s="254"/>
      <c r="B110" s="254"/>
      <c r="C110" s="254"/>
      <c r="D110" s="254"/>
      <c r="E110" s="254"/>
      <c r="F110" s="254"/>
      <c r="G110" s="254"/>
      <c r="H110" s="254"/>
      <c r="I110" s="378"/>
      <c r="J110" s="378"/>
      <c r="K110" s="378"/>
      <c r="L110" s="255"/>
      <c r="M110" s="255"/>
      <c r="N110" s="254"/>
      <c r="P110" s="254"/>
      <c r="Q110" s="254"/>
      <c r="R110" s="254"/>
      <c r="S110" s="254"/>
      <c r="T110" s="254"/>
      <c r="U110" s="254"/>
      <c r="V110" s="254"/>
      <c r="W110" s="254"/>
      <c r="X110" s="254"/>
      <c r="Y110" s="254"/>
      <c r="Z110" s="254"/>
      <c r="AA110" s="254"/>
      <c r="AB110" s="254"/>
      <c r="AC110" s="254"/>
      <c r="AD110" s="254"/>
      <c r="AE110" s="254"/>
      <c r="AF110" s="254"/>
      <c r="AG110" s="254"/>
      <c r="AH110" s="254"/>
      <c r="AI110" s="254"/>
      <c r="AJ110" s="254"/>
    </row>
    <row r="111" spans="1:36">
      <c r="A111" s="254"/>
      <c r="B111" s="254"/>
      <c r="C111" s="254"/>
      <c r="D111" s="254"/>
      <c r="E111" s="254"/>
      <c r="F111" s="254"/>
      <c r="G111" s="254"/>
      <c r="H111" s="254"/>
      <c r="I111" s="254"/>
      <c r="J111" s="378"/>
      <c r="K111" s="254"/>
      <c r="L111" s="254"/>
      <c r="M111" s="254"/>
      <c r="N111" s="254"/>
      <c r="P111" s="254"/>
      <c r="Q111" s="254"/>
      <c r="R111" s="254"/>
      <c r="S111" s="254"/>
      <c r="T111" s="254"/>
      <c r="U111" s="254"/>
      <c r="V111" s="254"/>
      <c r="W111" s="254"/>
      <c r="X111" s="254"/>
      <c r="Y111" s="254"/>
      <c r="Z111" s="254"/>
      <c r="AA111" s="254"/>
      <c r="AB111" s="254"/>
      <c r="AC111" s="254"/>
      <c r="AD111" s="254"/>
      <c r="AE111" s="254"/>
      <c r="AF111" s="254"/>
      <c r="AG111" s="254"/>
      <c r="AH111" s="254"/>
      <c r="AI111" s="254"/>
      <c r="AJ111" s="254"/>
    </row>
    <row r="112" spans="1:36">
      <c r="A112" s="254"/>
      <c r="B112" s="254"/>
      <c r="C112" s="254"/>
      <c r="D112" s="254"/>
      <c r="E112" s="254"/>
      <c r="F112" s="254"/>
      <c r="G112" s="254"/>
      <c r="H112" s="254"/>
      <c r="I112" s="254"/>
      <c r="J112" s="378"/>
      <c r="K112" s="254"/>
      <c r="L112" s="254"/>
      <c r="M112" s="254"/>
      <c r="N112" s="254"/>
      <c r="P112" s="254"/>
      <c r="Q112" s="254"/>
      <c r="R112" s="254"/>
      <c r="S112" s="254"/>
      <c r="T112" s="254"/>
      <c r="U112" s="254"/>
      <c r="V112" s="254"/>
      <c r="W112" s="254"/>
      <c r="X112" s="254"/>
      <c r="Y112" s="254"/>
      <c r="Z112" s="254"/>
      <c r="AA112" s="254"/>
      <c r="AB112" s="254"/>
      <c r="AC112" s="254"/>
      <c r="AD112" s="254"/>
      <c r="AE112" s="254"/>
      <c r="AF112" s="254"/>
      <c r="AG112" s="254"/>
      <c r="AH112" s="254"/>
      <c r="AI112" s="254"/>
      <c r="AJ112" s="254"/>
    </row>
    <row r="113" spans="1:36">
      <c r="A113" s="254"/>
      <c r="B113" s="254"/>
      <c r="C113" s="254"/>
      <c r="D113" s="254"/>
      <c r="E113" s="254"/>
      <c r="F113" s="254"/>
      <c r="G113" s="254"/>
      <c r="H113" s="254"/>
      <c r="I113" s="254"/>
      <c r="J113" s="378"/>
      <c r="K113" s="254"/>
      <c r="L113" s="254"/>
      <c r="M113" s="254"/>
      <c r="N113" s="254"/>
      <c r="P113" s="254"/>
      <c r="Q113" s="254"/>
      <c r="R113" s="254"/>
      <c r="S113" s="254"/>
      <c r="T113" s="254"/>
      <c r="U113" s="254"/>
      <c r="V113" s="254"/>
      <c r="W113" s="254"/>
      <c r="X113" s="254"/>
      <c r="Y113" s="254"/>
      <c r="Z113" s="254"/>
      <c r="AA113" s="254"/>
      <c r="AB113" s="254"/>
      <c r="AC113" s="254"/>
      <c r="AD113" s="254"/>
      <c r="AE113" s="254"/>
      <c r="AF113" s="254"/>
      <c r="AG113" s="254"/>
      <c r="AH113" s="254"/>
      <c r="AI113" s="254"/>
      <c r="AJ113" s="254"/>
    </row>
    <row r="114" spans="1:36">
      <c r="A114" s="254"/>
      <c r="B114" s="254"/>
      <c r="C114" s="254"/>
      <c r="D114" s="254"/>
      <c r="E114" s="254"/>
      <c r="F114" s="254"/>
      <c r="G114" s="254"/>
      <c r="H114" s="254"/>
      <c r="I114" s="254"/>
      <c r="J114" s="378"/>
      <c r="K114" s="254"/>
      <c r="L114" s="254"/>
      <c r="M114" s="254"/>
      <c r="N114" s="254"/>
      <c r="P114" s="254"/>
      <c r="Q114" s="254"/>
      <c r="R114" s="254"/>
      <c r="S114" s="254"/>
      <c r="T114" s="254"/>
      <c r="U114" s="254"/>
      <c r="V114" s="254"/>
      <c r="W114" s="254"/>
      <c r="X114" s="254"/>
      <c r="Y114" s="254"/>
      <c r="Z114" s="254"/>
      <c r="AA114" s="254"/>
      <c r="AB114" s="254"/>
      <c r="AC114" s="254"/>
      <c r="AD114" s="254"/>
      <c r="AE114" s="254"/>
      <c r="AF114" s="254"/>
      <c r="AG114" s="254"/>
      <c r="AH114" s="254"/>
      <c r="AI114" s="254"/>
      <c r="AJ114" s="254"/>
    </row>
    <row r="115" spans="1:36">
      <c r="A115" s="254"/>
      <c r="B115" s="254"/>
      <c r="C115" s="254"/>
      <c r="D115" s="254"/>
      <c r="E115" s="254"/>
      <c r="F115" s="254"/>
      <c r="G115" s="254"/>
      <c r="H115" s="254"/>
      <c r="I115" s="254"/>
      <c r="J115" s="378"/>
      <c r="K115" s="254"/>
      <c r="L115" s="254"/>
      <c r="M115" s="254"/>
      <c r="N115" s="254"/>
      <c r="P115" s="254"/>
      <c r="Q115" s="254"/>
      <c r="R115" s="254"/>
      <c r="S115" s="254"/>
      <c r="T115" s="254"/>
      <c r="U115" s="254"/>
      <c r="V115" s="254"/>
      <c r="W115" s="254"/>
      <c r="X115" s="254"/>
      <c r="Y115" s="254"/>
      <c r="Z115" s="254"/>
      <c r="AA115" s="254"/>
      <c r="AB115" s="254"/>
      <c r="AC115" s="254"/>
      <c r="AD115" s="254"/>
      <c r="AE115" s="254"/>
      <c r="AF115" s="254"/>
      <c r="AG115" s="254"/>
      <c r="AH115" s="254"/>
      <c r="AI115" s="254"/>
      <c r="AJ115" s="254"/>
    </row>
    <row r="116" spans="1:36">
      <c r="A116" s="254"/>
      <c r="B116" s="254"/>
      <c r="C116" s="254"/>
      <c r="D116" s="254"/>
      <c r="E116" s="254"/>
      <c r="F116" s="254"/>
      <c r="G116" s="254"/>
      <c r="H116" s="254"/>
      <c r="I116" s="254"/>
      <c r="J116" s="378"/>
      <c r="K116" s="254"/>
      <c r="L116" s="254"/>
      <c r="M116" s="254"/>
      <c r="N116" s="254"/>
      <c r="P116" s="254"/>
      <c r="Q116" s="254"/>
      <c r="R116" s="254"/>
      <c r="S116" s="254"/>
      <c r="T116" s="254"/>
      <c r="U116" s="254"/>
      <c r="V116" s="254"/>
      <c r="W116" s="254"/>
      <c r="X116" s="254"/>
      <c r="Y116" s="254"/>
      <c r="Z116" s="254"/>
      <c r="AA116" s="254"/>
      <c r="AB116" s="254"/>
      <c r="AC116" s="254"/>
      <c r="AD116" s="254"/>
      <c r="AE116" s="254"/>
      <c r="AF116" s="254"/>
      <c r="AG116" s="254"/>
      <c r="AH116" s="254"/>
      <c r="AI116" s="254"/>
      <c r="AJ116" s="254"/>
    </row>
    <row r="117" spans="1:36">
      <c r="A117" s="254"/>
      <c r="B117" s="254"/>
      <c r="C117" s="254"/>
      <c r="D117" s="254"/>
      <c r="E117" s="254"/>
      <c r="F117" s="254"/>
      <c r="G117" s="254"/>
      <c r="H117" s="254"/>
      <c r="I117" s="254"/>
      <c r="J117" s="378"/>
      <c r="K117" s="254"/>
      <c r="L117" s="254"/>
      <c r="M117" s="254"/>
      <c r="N117" s="254"/>
      <c r="P117" s="254"/>
      <c r="Q117" s="254"/>
      <c r="R117" s="254"/>
      <c r="S117" s="254"/>
      <c r="T117" s="254"/>
      <c r="U117" s="254"/>
      <c r="V117" s="254"/>
      <c r="W117" s="254"/>
      <c r="X117" s="254"/>
      <c r="Y117" s="254"/>
      <c r="Z117" s="254"/>
      <c r="AA117" s="254"/>
      <c r="AB117" s="254"/>
      <c r="AC117" s="254"/>
      <c r="AD117" s="254"/>
      <c r="AE117" s="254"/>
      <c r="AF117" s="254"/>
      <c r="AG117" s="254"/>
      <c r="AH117" s="254"/>
      <c r="AI117" s="254"/>
      <c r="AJ117" s="254"/>
    </row>
    <row r="118" spans="1:36">
      <c r="A118" s="254"/>
      <c r="B118" s="254"/>
      <c r="C118" s="254"/>
      <c r="D118" s="254"/>
      <c r="E118" s="254"/>
      <c r="F118" s="254"/>
      <c r="G118" s="254"/>
      <c r="H118" s="254"/>
      <c r="I118" s="254"/>
      <c r="J118" s="378"/>
      <c r="K118" s="254"/>
      <c r="L118" s="254"/>
      <c r="M118" s="254"/>
      <c r="N118" s="254"/>
      <c r="P118" s="254"/>
      <c r="Q118" s="254"/>
      <c r="R118" s="254"/>
      <c r="S118" s="254"/>
      <c r="T118" s="254"/>
      <c r="U118" s="254"/>
      <c r="V118" s="254"/>
      <c r="W118" s="254"/>
      <c r="X118" s="254"/>
      <c r="Y118" s="254"/>
      <c r="Z118" s="254"/>
      <c r="AA118" s="254"/>
      <c r="AB118" s="254"/>
      <c r="AC118" s="254"/>
      <c r="AD118" s="254"/>
      <c r="AE118" s="254"/>
      <c r="AF118" s="254"/>
      <c r="AG118" s="254"/>
      <c r="AH118" s="254"/>
      <c r="AI118" s="254"/>
      <c r="AJ118" s="254"/>
    </row>
    <row r="119" spans="1:36">
      <c r="A119" s="254"/>
      <c r="B119" s="254"/>
      <c r="C119" s="254"/>
      <c r="D119" s="254"/>
      <c r="E119" s="254"/>
      <c r="F119" s="254"/>
      <c r="G119" s="254"/>
      <c r="H119" s="254"/>
      <c r="I119" s="254"/>
      <c r="J119" s="378"/>
      <c r="K119" s="254"/>
      <c r="L119" s="254"/>
      <c r="M119" s="254"/>
      <c r="N119" s="254"/>
      <c r="P119" s="254"/>
      <c r="Q119" s="254"/>
      <c r="R119" s="254"/>
      <c r="S119" s="254"/>
      <c r="T119" s="254"/>
      <c r="U119" s="254"/>
      <c r="V119" s="254"/>
      <c r="W119" s="254"/>
      <c r="X119" s="254"/>
      <c r="Y119" s="254"/>
      <c r="Z119" s="254"/>
      <c r="AA119" s="254"/>
      <c r="AB119" s="254"/>
      <c r="AC119" s="254"/>
      <c r="AD119" s="254"/>
      <c r="AE119" s="254"/>
      <c r="AF119" s="254"/>
      <c r="AG119" s="254"/>
      <c r="AH119" s="254"/>
      <c r="AI119" s="254"/>
      <c r="AJ119" s="254"/>
    </row>
    <row r="120" spans="1:36">
      <c r="A120" s="254"/>
      <c r="B120" s="254"/>
      <c r="C120" s="254"/>
      <c r="D120" s="254"/>
      <c r="E120" s="254"/>
      <c r="F120" s="254"/>
      <c r="G120" s="254"/>
      <c r="H120" s="254"/>
      <c r="I120" s="254"/>
      <c r="J120" s="378"/>
      <c r="K120" s="254"/>
      <c r="L120" s="254"/>
      <c r="M120" s="254"/>
      <c r="N120" s="254"/>
      <c r="P120" s="254"/>
      <c r="Q120" s="254"/>
      <c r="R120" s="254"/>
      <c r="S120" s="254"/>
      <c r="T120" s="254"/>
      <c r="U120" s="254"/>
      <c r="V120" s="254"/>
      <c r="W120" s="254"/>
      <c r="X120" s="254"/>
      <c r="Y120" s="254"/>
      <c r="Z120" s="254"/>
      <c r="AA120" s="254"/>
      <c r="AB120" s="254"/>
      <c r="AC120" s="254"/>
      <c r="AD120" s="254"/>
      <c r="AE120" s="254"/>
      <c r="AF120" s="254"/>
      <c r="AG120" s="254"/>
      <c r="AH120" s="254"/>
      <c r="AI120" s="254"/>
      <c r="AJ120" s="254"/>
    </row>
    <row r="121" spans="1:36">
      <c r="A121" s="254"/>
      <c r="B121" s="254"/>
      <c r="C121" s="254"/>
      <c r="D121" s="254"/>
      <c r="E121" s="254"/>
      <c r="F121" s="254"/>
      <c r="G121" s="254"/>
      <c r="H121" s="254"/>
      <c r="I121" s="254"/>
      <c r="J121" s="378"/>
      <c r="K121" s="254"/>
      <c r="L121" s="254"/>
      <c r="M121" s="254"/>
      <c r="N121" s="254"/>
      <c r="P121" s="254"/>
      <c r="Q121" s="254"/>
      <c r="R121" s="254"/>
      <c r="S121" s="254"/>
      <c r="T121" s="254"/>
      <c r="U121" s="254"/>
      <c r="V121" s="254"/>
      <c r="W121" s="254"/>
      <c r="X121" s="254"/>
      <c r="Y121" s="254"/>
      <c r="Z121" s="254"/>
      <c r="AA121" s="254"/>
      <c r="AB121" s="254"/>
      <c r="AC121" s="254"/>
      <c r="AD121" s="254"/>
      <c r="AE121" s="254"/>
      <c r="AF121" s="254"/>
      <c r="AG121" s="254"/>
      <c r="AH121" s="254"/>
      <c r="AI121" s="254"/>
      <c r="AJ121" s="254"/>
    </row>
    <row r="122" spans="1:36">
      <c r="A122" s="254"/>
      <c r="B122" s="254"/>
      <c r="C122" s="254"/>
      <c r="D122" s="254"/>
      <c r="E122" s="254"/>
      <c r="F122" s="254"/>
      <c r="G122" s="254"/>
      <c r="H122" s="254"/>
      <c r="I122" s="254"/>
      <c r="J122" s="378"/>
      <c r="K122" s="254"/>
      <c r="L122" s="254"/>
      <c r="M122" s="254"/>
      <c r="N122" s="254"/>
      <c r="P122" s="254"/>
      <c r="Q122" s="254"/>
      <c r="R122" s="254"/>
      <c r="S122" s="254"/>
      <c r="T122" s="254"/>
      <c r="U122" s="254"/>
      <c r="V122" s="254"/>
      <c r="W122" s="254"/>
      <c r="X122" s="254"/>
      <c r="Y122" s="254"/>
      <c r="Z122" s="254"/>
      <c r="AA122" s="254"/>
      <c r="AB122" s="254"/>
      <c r="AC122" s="254"/>
      <c r="AD122" s="254"/>
      <c r="AE122" s="254"/>
      <c r="AF122" s="254"/>
      <c r="AG122" s="254"/>
      <c r="AH122" s="254"/>
      <c r="AI122" s="254"/>
      <c r="AJ122" s="254"/>
    </row>
    <row r="123" spans="1:36">
      <c r="A123" s="254"/>
      <c r="B123" s="254"/>
      <c r="C123" s="254"/>
      <c r="D123" s="254"/>
      <c r="E123" s="254"/>
      <c r="F123" s="254"/>
      <c r="G123" s="254"/>
      <c r="H123" s="254"/>
      <c r="I123" s="254"/>
      <c r="J123" s="378"/>
      <c r="K123" s="254"/>
      <c r="L123" s="254"/>
      <c r="M123" s="254"/>
      <c r="N123" s="254"/>
      <c r="P123" s="254"/>
      <c r="Q123" s="254"/>
      <c r="R123" s="254"/>
      <c r="S123" s="254"/>
      <c r="T123" s="254"/>
      <c r="U123" s="254"/>
      <c r="V123" s="254"/>
      <c r="W123" s="254"/>
      <c r="X123" s="254"/>
      <c r="Y123" s="254"/>
      <c r="Z123" s="254"/>
      <c r="AA123" s="254"/>
      <c r="AB123" s="254"/>
      <c r="AC123" s="254"/>
      <c r="AD123" s="254"/>
      <c r="AE123" s="254"/>
      <c r="AF123" s="254"/>
      <c r="AG123" s="254"/>
      <c r="AH123" s="254"/>
      <c r="AI123" s="254"/>
      <c r="AJ123" s="254"/>
    </row>
    <row r="124" spans="1:36">
      <c r="A124" s="254"/>
      <c r="B124" s="254"/>
      <c r="C124" s="254"/>
      <c r="D124" s="254"/>
      <c r="E124" s="254"/>
      <c r="F124" s="254"/>
      <c r="G124" s="254"/>
      <c r="H124" s="254"/>
      <c r="I124" s="254"/>
      <c r="J124" s="378"/>
      <c r="K124" s="254"/>
      <c r="L124" s="254"/>
      <c r="M124" s="254"/>
      <c r="N124" s="254"/>
      <c r="P124" s="254"/>
      <c r="Q124" s="254"/>
      <c r="R124" s="254"/>
      <c r="S124" s="254"/>
      <c r="T124" s="254"/>
      <c r="U124" s="254"/>
      <c r="V124" s="254"/>
      <c r="W124" s="254"/>
      <c r="X124" s="254"/>
      <c r="Y124" s="254"/>
      <c r="Z124" s="254"/>
      <c r="AA124" s="254"/>
      <c r="AB124" s="254"/>
      <c r="AC124" s="254"/>
      <c r="AD124" s="254"/>
      <c r="AE124" s="254"/>
      <c r="AF124" s="254"/>
      <c r="AG124" s="254"/>
      <c r="AH124" s="254"/>
      <c r="AI124" s="254"/>
      <c r="AJ124" s="254"/>
    </row>
    <row r="125" spans="1:36">
      <c r="A125" s="254"/>
      <c r="B125" s="254"/>
      <c r="C125" s="254"/>
      <c r="D125" s="254"/>
      <c r="E125" s="254"/>
      <c r="F125" s="254"/>
      <c r="G125" s="254"/>
      <c r="H125" s="254"/>
      <c r="I125" s="254"/>
      <c r="J125" s="378"/>
      <c r="K125" s="254"/>
      <c r="L125" s="254"/>
      <c r="M125" s="254"/>
      <c r="N125" s="254"/>
      <c r="P125" s="254"/>
      <c r="Q125" s="254"/>
      <c r="R125" s="254"/>
      <c r="S125" s="254"/>
      <c r="T125" s="254"/>
      <c r="U125" s="254"/>
      <c r="V125" s="254"/>
      <c r="W125" s="254"/>
      <c r="X125" s="254"/>
      <c r="Y125" s="254"/>
      <c r="Z125" s="254"/>
      <c r="AA125" s="254"/>
      <c r="AB125" s="254"/>
      <c r="AC125" s="254"/>
      <c r="AD125" s="254"/>
      <c r="AE125" s="254"/>
      <c r="AF125" s="254"/>
      <c r="AG125" s="254"/>
      <c r="AH125" s="254"/>
      <c r="AI125" s="254"/>
      <c r="AJ125" s="254"/>
    </row>
    <row r="126" spans="1:36">
      <c r="A126" s="254"/>
      <c r="B126" s="254"/>
      <c r="C126" s="254"/>
      <c r="D126" s="254"/>
      <c r="E126" s="254"/>
      <c r="F126" s="254"/>
      <c r="G126" s="254"/>
      <c r="H126" s="254"/>
      <c r="I126" s="254"/>
      <c r="J126" s="378"/>
      <c r="K126" s="254"/>
      <c r="L126" s="254"/>
      <c r="M126" s="254"/>
      <c r="N126" s="254"/>
      <c r="P126" s="254"/>
      <c r="Q126" s="254"/>
      <c r="R126" s="254"/>
      <c r="S126" s="254"/>
      <c r="T126" s="254"/>
      <c r="U126" s="254"/>
      <c r="V126" s="254"/>
      <c r="W126" s="254"/>
      <c r="X126" s="254"/>
      <c r="Y126" s="254"/>
      <c r="Z126" s="254"/>
      <c r="AA126" s="254"/>
      <c r="AB126" s="254"/>
      <c r="AC126" s="254"/>
      <c r="AD126" s="254"/>
      <c r="AE126" s="254"/>
      <c r="AF126" s="254"/>
      <c r="AG126" s="254"/>
      <c r="AH126" s="254"/>
      <c r="AI126" s="254"/>
      <c r="AJ126" s="254"/>
    </row>
    <row r="127" spans="1:36">
      <c r="A127" s="254"/>
      <c r="B127" s="254"/>
      <c r="C127" s="254"/>
      <c r="D127" s="254"/>
      <c r="E127" s="254"/>
      <c r="F127" s="254"/>
      <c r="G127" s="254"/>
      <c r="H127" s="254"/>
      <c r="I127" s="254"/>
      <c r="J127" s="378"/>
      <c r="K127" s="254"/>
      <c r="L127" s="254"/>
      <c r="M127" s="254"/>
      <c r="N127" s="254"/>
      <c r="P127" s="254"/>
      <c r="Q127" s="254"/>
      <c r="R127" s="254"/>
      <c r="S127" s="254"/>
      <c r="T127" s="254"/>
      <c r="U127" s="254"/>
      <c r="V127" s="254"/>
      <c r="W127" s="254"/>
      <c r="X127" s="254"/>
      <c r="Y127" s="254"/>
      <c r="Z127" s="254"/>
      <c r="AA127" s="254"/>
      <c r="AB127" s="254"/>
      <c r="AC127" s="254"/>
      <c r="AD127" s="254"/>
      <c r="AE127" s="254"/>
      <c r="AF127" s="254"/>
      <c r="AG127" s="254"/>
      <c r="AH127" s="254"/>
      <c r="AI127" s="254"/>
      <c r="AJ127" s="254"/>
    </row>
    <row r="128" spans="1:36">
      <c r="A128" s="254"/>
      <c r="B128" s="254"/>
      <c r="C128" s="254"/>
      <c r="D128" s="254"/>
      <c r="E128" s="254"/>
      <c r="F128" s="254"/>
      <c r="G128" s="254"/>
      <c r="H128" s="254"/>
      <c r="I128" s="254"/>
      <c r="J128" s="378"/>
      <c r="K128" s="254"/>
      <c r="L128" s="254"/>
      <c r="M128" s="254"/>
      <c r="N128" s="254"/>
      <c r="P128" s="254"/>
      <c r="Q128" s="254"/>
      <c r="R128" s="254"/>
      <c r="S128" s="254"/>
      <c r="T128" s="254"/>
      <c r="U128" s="254"/>
      <c r="V128" s="254"/>
      <c r="W128" s="254"/>
      <c r="X128" s="254"/>
      <c r="Y128" s="254"/>
      <c r="Z128" s="254"/>
      <c r="AA128" s="254"/>
      <c r="AB128" s="254"/>
      <c r="AC128" s="254"/>
      <c r="AD128" s="254"/>
      <c r="AE128" s="254"/>
      <c r="AF128" s="254"/>
      <c r="AG128" s="254"/>
      <c r="AH128" s="254"/>
      <c r="AI128" s="254"/>
      <c r="AJ128" s="254"/>
    </row>
    <row r="129" spans="1:36">
      <c r="A129" s="254"/>
      <c r="B129" s="254"/>
      <c r="C129" s="254"/>
      <c r="D129" s="254"/>
      <c r="E129" s="254"/>
      <c r="F129" s="254"/>
      <c r="G129" s="254"/>
      <c r="H129" s="254"/>
      <c r="I129" s="254"/>
      <c r="J129" s="378"/>
      <c r="K129" s="254"/>
      <c r="L129" s="254"/>
      <c r="M129" s="254"/>
      <c r="N129" s="254"/>
      <c r="P129" s="254"/>
      <c r="Q129" s="254"/>
      <c r="R129" s="254"/>
      <c r="S129" s="254"/>
      <c r="T129" s="254"/>
      <c r="U129" s="254"/>
      <c r="V129" s="254"/>
      <c r="W129" s="254"/>
      <c r="X129" s="254"/>
      <c r="Y129" s="254"/>
      <c r="Z129" s="254"/>
      <c r="AA129" s="254"/>
      <c r="AB129" s="254"/>
      <c r="AC129" s="254"/>
      <c r="AD129" s="254"/>
      <c r="AE129" s="254"/>
      <c r="AF129" s="254"/>
      <c r="AG129" s="254"/>
      <c r="AH129" s="254"/>
      <c r="AI129" s="254"/>
      <c r="AJ129" s="254"/>
    </row>
    <row r="130" spans="1:36">
      <c r="A130" s="254"/>
      <c r="B130" s="254"/>
      <c r="C130" s="254"/>
      <c r="D130" s="254"/>
      <c r="E130" s="254"/>
      <c r="F130" s="254"/>
      <c r="G130" s="254"/>
      <c r="H130" s="254"/>
      <c r="I130" s="254"/>
      <c r="J130" s="378"/>
      <c r="K130" s="254"/>
      <c r="L130" s="254"/>
      <c r="M130" s="254"/>
      <c r="N130" s="254"/>
      <c r="P130" s="254"/>
      <c r="Q130" s="254"/>
      <c r="R130" s="254"/>
      <c r="S130" s="254"/>
      <c r="T130" s="254"/>
      <c r="U130" s="254"/>
      <c r="V130" s="254"/>
      <c r="W130" s="254"/>
      <c r="X130" s="254"/>
      <c r="Y130" s="254"/>
      <c r="Z130" s="254"/>
      <c r="AA130" s="254"/>
      <c r="AB130" s="254"/>
      <c r="AC130" s="254"/>
      <c r="AD130" s="254"/>
      <c r="AE130" s="254"/>
      <c r="AF130" s="254"/>
      <c r="AG130" s="254"/>
      <c r="AH130" s="254"/>
      <c r="AI130" s="254"/>
      <c r="AJ130" s="254"/>
    </row>
    <row r="131" spans="1:36">
      <c r="A131" s="254"/>
      <c r="B131" s="254"/>
      <c r="C131" s="254"/>
      <c r="D131" s="254"/>
      <c r="E131" s="254"/>
      <c r="F131" s="254"/>
      <c r="G131" s="254"/>
      <c r="H131" s="254"/>
      <c r="I131" s="254"/>
      <c r="J131" s="378"/>
      <c r="K131" s="254"/>
      <c r="L131" s="254"/>
      <c r="M131" s="254"/>
      <c r="N131" s="254"/>
      <c r="P131" s="254"/>
      <c r="Q131" s="254"/>
      <c r="R131" s="254"/>
      <c r="S131" s="254"/>
      <c r="T131" s="254"/>
      <c r="U131" s="254"/>
      <c r="V131" s="254"/>
      <c r="W131" s="254"/>
      <c r="X131" s="254"/>
      <c r="Y131" s="254"/>
      <c r="Z131" s="254"/>
      <c r="AA131" s="254"/>
      <c r="AB131" s="254"/>
      <c r="AC131" s="254"/>
      <c r="AD131" s="254"/>
      <c r="AE131" s="254"/>
      <c r="AF131" s="254"/>
      <c r="AG131" s="254"/>
      <c r="AH131" s="254"/>
      <c r="AI131" s="254"/>
      <c r="AJ131" s="254"/>
    </row>
    <row r="132" spans="1:36">
      <c r="A132" s="254"/>
      <c r="B132" s="254"/>
      <c r="C132" s="254"/>
      <c r="D132" s="254"/>
      <c r="E132" s="254"/>
      <c r="F132" s="254"/>
      <c r="G132" s="254"/>
      <c r="H132" s="254"/>
      <c r="I132" s="254"/>
      <c r="J132" s="378"/>
      <c r="K132" s="254"/>
      <c r="L132" s="254"/>
      <c r="M132" s="254"/>
      <c r="N132" s="254"/>
      <c r="P132" s="254"/>
      <c r="Q132" s="254"/>
      <c r="R132" s="254"/>
      <c r="S132" s="254"/>
      <c r="T132" s="254"/>
      <c r="U132" s="254"/>
      <c r="V132" s="254"/>
      <c r="W132" s="254"/>
      <c r="X132" s="254"/>
      <c r="Y132" s="254"/>
      <c r="Z132" s="254"/>
      <c r="AA132" s="254"/>
      <c r="AB132" s="254"/>
      <c r="AC132" s="254"/>
      <c r="AD132" s="254"/>
      <c r="AE132" s="254"/>
      <c r="AF132" s="254"/>
      <c r="AG132" s="254"/>
      <c r="AH132" s="254"/>
      <c r="AI132" s="254"/>
      <c r="AJ132" s="254"/>
    </row>
    <row r="133" spans="1:36">
      <c r="A133" s="254"/>
      <c r="B133" s="254"/>
      <c r="C133" s="254"/>
      <c r="D133" s="254"/>
      <c r="E133" s="254"/>
      <c r="F133" s="254"/>
      <c r="G133" s="254"/>
      <c r="H133" s="254"/>
      <c r="I133" s="254"/>
      <c r="J133" s="378"/>
      <c r="K133" s="254"/>
      <c r="L133" s="254"/>
      <c r="M133" s="254"/>
      <c r="N133" s="254"/>
      <c r="P133" s="254"/>
      <c r="Q133" s="254"/>
      <c r="R133" s="254"/>
      <c r="S133" s="254"/>
      <c r="T133" s="254"/>
      <c r="U133" s="254"/>
      <c r="V133" s="254"/>
      <c r="W133" s="254"/>
      <c r="X133" s="254"/>
      <c r="Y133" s="254"/>
      <c r="Z133" s="254"/>
      <c r="AA133" s="254"/>
      <c r="AB133" s="254"/>
      <c r="AC133" s="254"/>
      <c r="AD133" s="254"/>
      <c r="AE133" s="254"/>
      <c r="AF133" s="254"/>
      <c r="AG133" s="254"/>
      <c r="AH133" s="254"/>
      <c r="AI133" s="254"/>
      <c r="AJ133" s="254"/>
    </row>
    <row r="134" spans="1:36">
      <c r="A134" s="254"/>
      <c r="B134" s="254"/>
      <c r="C134" s="254"/>
      <c r="D134" s="254"/>
      <c r="E134" s="254"/>
      <c r="F134" s="254"/>
      <c r="G134" s="254"/>
      <c r="H134" s="254"/>
      <c r="I134" s="254"/>
      <c r="J134" s="378"/>
      <c r="K134" s="254"/>
      <c r="L134" s="254"/>
      <c r="M134" s="254"/>
      <c r="N134" s="254"/>
      <c r="P134" s="254"/>
      <c r="Q134" s="254"/>
      <c r="R134" s="254"/>
      <c r="S134" s="254"/>
      <c r="T134" s="254"/>
      <c r="U134" s="254"/>
      <c r="V134" s="254"/>
      <c r="W134" s="254"/>
      <c r="X134" s="254"/>
      <c r="Y134" s="254"/>
      <c r="Z134" s="254"/>
      <c r="AA134" s="254"/>
      <c r="AB134" s="254"/>
      <c r="AC134" s="254"/>
      <c r="AD134" s="254"/>
      <c r="AE134" s="254"/>
      <c r="AF134" s="254"/>
      <c r="AG134" s="254"/>
      <c r="AH134" s="254"/>
      <c r="AI134" s="254"/>
      <c r="AJ134" s="254"/>
    </row>
    <row r="135" spans="1:36">
      <c r="A135" s="254"/>
      <c r="B135" s="254"/>
      <c r="C135" s="254"/>
      <c r="D135" s="254"/>
      <c r="E135" s="254"/>
      <c r="F135" s="254"/>
      <c r="G135" s="254"/>
      <c r="H135" s="254"/>
      <c r="I135" s="254"/>
      <c r="J135" s="378"/>
      <c r="K135" s="254"/>
      <c r="L135" s="254"/>
      <c r="M135" s="254"/>
      <c r="N135" s="254"/>
      <c r="P135" s="254"/>
      <c r="Q135" s="254"/>
      <c r="R135" s="254"/>
      <c r="S135" s="254"/>
      <c r="T135" s="254"/>
      <c r="U135" s="254"/>
      <c r="V135" s="254"/>
      <c r="W135" s="254"/>
      <c r="X135" s="254"/>
      <c r="Y135" s="254"/>
      <c r="Z135" s="254"/>
      <c r="AA135" s="254"/>
      <c r="AB135" s="254"/>
      <c r="AC135" s="254"/>
      <c r="AD135" s="254"/>
      <c r="AE135" s="254"/>
      <c r="AF135" s="254"/>
      <c r="AG135" s="254"/>
      <c r="AH135" s="254"/>
      <c r="AI135" s="254"/>
      <c r="AJ135" s="254"/>
    </row>
    <row r="136" spans="1:36">
      <c r="A136" s="254"/>
      <c r="B136" s="254"/>
      <c r="C136" s="254"/>
      <c r="D136" s="254"/>
      <c r="E136" s="254"/>
      <c r="F136" s="254"/>
      <c r="G136" s="254"/>
      <c r="H136" s="254"/>
      <c r="I136" s="254"/>
      <c r="J136" s="378"/>
      <c r="K136" s="254"/>
      <c r="L136" s="254"/>
      <c r="M136" s="254"/>
      <c r="N136" s="254"/>
      <c r="P136" s="254"/>
      <c r="Q136" s="254"/>
      <c r="R136" s="254"/>
      <c r="S136" s="254"/>
      <c r="T136" s="254"/>
      <c r="U136" s="254"/>
      <c r="V136" s="254"/>
      <c r="W136" s="254"/>
      <c r="X136" s="254"/>
      <c r="Y136" s="254"/>
      <c r="Z136" s="254"/>
      <c r="AA136" s="254"/>
      <c r="AB136" s="254"/>
      <c r="AC136" s="254"/>
      <c r="AD136" s="254"/>
      <c r="AE136" s="254"/>
      <c r="AF136" s="254"/>
      <c r="AG136" s="254"/>
      <c r="AH136" s="254"/>
      <c r="AI136" s="254"/>
      <c r="AJ136" s="254"/>
    </row>
    <row r="137" spans="1:36">
      <c r="A137" s="254"/>
      <c r="B137" s="254"/>
      <c r="C137" s="254"/>
      <c r="D137" s="254"/>
      <c r="E137" s="254"/>
      <c r="F137" s="254"/>
      <c r="G137" s="254"/>
      <c r="H137" s="254"/>
      <c r="I137" s="254"/>
      <c r="J137" s="378"/>
      <c r="K137" s="254"/>
      <c r="L137" s="254"/>
      <c r="M137" s="254"/>
      <c r="N137" s="254"/>
      <c r="P137" s="254"/>
      <c r="Q137" s="254"/>
      <c r="R137" s="254"/>
      <c r="S137" s="254"/>
      <c r="T137" s="254"/>
      <c r="U137" s="254"/>
      <c r="V137" s="254"/>
      <c r="W137" s="254"/>
      <c r="X137" s="254"/>
      <c r="Y137" s="254"/>
      <c r="Z137" s="254"/>
      <c r="AA137" s="254"/>
      <c r="AB137" s="254"/>
      <c r="AC137" s="254"/>
      <c r="AD137" s="254"/>
      <c r="AE137" s="254"/>
      <c r="AF137" s="254"/>
      <c r="AG137" s="254"/>
      <c r="AH137" s="254"/>
      <c r="AI137" s="254"/>
      <c r="AJ137" s="254"/>
    </row>
    <row r="138" spans="1:36">
      <c r="A138" s="254"/>
      <c r="B138" s="254"/>
      <c r="C138" s="254"/>
      <c r="D138" s="254"/>
      <c r="E138" s="254"/>
      <c r="F138" s="254"/>
      <c r="G138" s="254"/>
      <c r="H138" s="254"/>
      <c r="I138" s="254"/>
      <c r="J138" s="378"/>
      <c r="K138" s="254"/>
      <c r="L138" s="254"/>
      <c r="M138" s="254"/>
      <c r="N138" s="254"/>
      <c r="P138" s="254"/>
      <c r="Q138" s="254"/>
      <c r="R138" s="254"/>
      <c r="S138" s="254"/>
      <c r="T138" s="254"/>
      <c r="U138" s="254"/>
      <c r="V138" s="254"/>
      <c r="W138" s="254"/>
      <c r="X138" s="254"/>
      <c r="Y138" s="254"/>
      <c r="Z138" s="254"/>
      <c r="AA138" s="254"/>
      <c r="AB138" s="254"/>
      <c r="AC138" s="254"/>
      <c r="AD138" s="254"/>
      <c r="AE138" s="254"/>
      <c r="AF138" s="254"/>
      <c r="AG138" s="254"/>
      <c r="AH138" s="254"/>
      <c r="AI138" s="254"/>
      <c r="AJ138" s="254"/>
    </row>
    <row r="139" spans="1:36">
      <c r="A139" s="254"/>
      <c r="B139" s="254"/>
      <c r="C139" s="254"/>
      <c r="D139" s="254"/>
      <c r="E139" s="254"/>
      <c r="F139" s="254"/>
      <c r="G139" s="254"/>
      <c r="H139" s="254"/>
      <c r="I139" s="254"/>
      <c r="J139" s="378"/>
      <c r="K139" s="254"/>
      <c r="L139" s="254"/>
      <c r="M139" s="254"/>
      <c r="N139" s="254"/>
      <c r="P139" s="254"/>
      <c r="Q139" s="254"/>
      <c r="R139" s="254"/>
      <c r="S139" s="254"/>
      <c r="T139" s="254"/>
      <c r="U139" s="254"/>
      <c r="V139" s="254"/>
      <c r="W139" s="254"/>
      <c r="X139" s="254"/>
      <c r="Y139" s="254"/>
      <c r="Z139" s="254"/>
      <c r="AA139" s="254"/>
      <c r="AB139" s="254"/>
      <c r="AC139" s="254"/>
      <c r="AD139" s="254"/>
      <c r="AE139" s="254"/>
      <c r="AF139" s="254"/>
      <c r="AG139" s="254"/>
      <c r="AH139" s="254"/>
      <c r="AI139" s="254"/>
      <c r="AJ139" s="254"/>
    </row>
    <row r="140" spans="1:36">
      <c r="A140" s="254"/>
      <c r="B140" s="254"/>
      <c r="C140" s="254"/>
      <c r="D140" s="254"/>
      <c r="E140" s="254"/>
      <c r="F140" s="254"/>
      <c r="G140" s="254"/>
      <c r="H140" s="254"/>
      <c r="I140" s="254"/>
      <c r="J140" s="378"/>
      <c r="K140" s="254"/>
      <c r="L140" s="254"/>
      <c r="M140" s="254"/>
      <c r="N140" s="254"/>
      <c r="P140" s="254"/>
      <c r="Q140" s="254"/>
      <c r="R140" s="254"/>
      <c r="S140" s="254"/>
      <c r="T140" s="254"/>
      <c r="U140" s="254"/>
      <c r="V140" s="254"/>
      <c r="W140" s="254"/>
      <c r="X140" s="254"/>
      <c r="Y140" s="254"/>
      <c r="Z140" s="254"/>
      <c r="AA140" s="254"/>
      <c r="AB140" s="254"/>
      <c r="AC140" s="254"/>
      <c r="AD140" s="254"/>
      <c r="AE140" s="254"/>
      <c r="AF140" s="254"/>
      <c r="AG140" s="254"/>
      <c r="AH140" s="254"/>
      <c r="AI140" s="254"/>
      <c r="AJ140" s="254"/>
    </row>
    <row r="141" spans="1:36">
      <c r="A141" s="254"/>
      <c r="B141" s="254"/>
      <c r="C141" s="254"/>
      <c r="D141" s="254"/>
      <c r="E141" s="254"/>
      <c r="F141" s="254"/>
      <c r="G141" s="254"/>
      <c r="H141" s="254"/>
      <c r="I141" s="254"/>
      <c r="J141" s="378"/>
      <c r="K141" s="254"/>
      <c r="L141" s="254"/>
      <c r="M141" s="254"/>
      <c r="N141" s="254"/>
      <c r="P141" s="254"/>
      <c r="Q141" s="254"/>
      <c r="R141" s="254"/>
      <c r="S141" s="254"/>
      <c r="T141" s="254"/>
      <c r="U141" s="254"/>
      <c r="V141" s="254"/>
      <c r="W141" s="254"/>
      <c r="X141" s="254"/>
      <c r="Y141" s="254"/>
      <c r="Z141" s="254"/>
      <c r="AA141" s="254"/>
      <c r="AB141" s="254"/>
      <c r="AC141" s="254"/>
      <c r="AD141" s="254"/>
      <c r="AE141" s="254"/>
      <c r="AF141" s="254"/>
      <c r="AG141" s="254"/>
      <c r="AH141" s="254"/>
      <c r="AI141" s="254"/>
      <c r="AJ141" s="254"/>
    </row>
    <row r="142" spans="1:36">
      <c r="A142" s="254"/>
      <c r="B142" s="254"/>
      <c r="C142" s="254"/>
      <c r="D142" s="254"/>
      <c r="E142" s="254"/>
      <c r="F142" s="254"/>
      <c r="G142" s="254"/>
      <c r="H142" s="254"/>
      <c r="I142" s="254"/>
      <c r="J142" s="378"/>
      <c r="K142" s="254"/>
      <c r="L142" s="254"/>
      <c r="M142" s="254"/>
      <c r="N142" s="254"/>
      <c r="P142" s="254"/>
      <c r="Q142" s="254"/>
      <c r="R142" s="254"/>
      <c r="S142" s="254"/>
      <c r="T142" s="254"/>
      <c r="U142" s="254"/>
      <c r="V142" s="254"/>
      <c r="W142" s="254"/>
      <c r="X142" s="254"/>
      <c r="Y142" s="254"/>
      <c r="Z142" s="254"/>
      <c r="AA142" s="254"/>
      <c r="AB142" s="254"/>
      <c r="AC142" s="254"/>
      <c r="AD142" s="254"/>
      <c r="AE142" s="254"/>
      <c r="AF142" s="254"/>
      <c r="AG142" s="254"/>
      <c r="AH142" s="254"/>
      <c r="AI142" s="254"/>
      <c r="AJ142" s="254"/>
    </row>
    <row r="143" spans="1:36">
      <c r="A143" s="254"/>
      <c r="B143" s="254"/>
      <c r="C143" s="254"/>
      <c r="D143" s="254"/>
      <c r="E143" s="254"/>
      <c r="F143" s="254"/>
      <c r="G143" s="254"/>
      <c r="H143" s="254"/>
      <c r="I143" s="254"/>
      <c r="J143" s="378"/>
      <c r="K143" s="254"/>
      <c r="L143" s="254"/>
      <c r="M143" s="254"/>
      <c r="N143" s="254"/>
      <c r="P143" s="254"/>
      <c r="Q143" s="254"/>
      <c r="R143" s="254"/>
      <c r="S143" s="254"/>
      <c r="T143" s="254"/>
      <c r="U143" s="254"/>
      <c r="V143" s="254"/>
      <c r="W143" s="254"/>
      <c r="X143" s="254"/>
      <c r="Y143" s="254"/>
      <c r="Z143" s="254"/>
      <c r="AA143" s="254"/>
      <c r="AB143" s="254"/>
      <c r="AC143" s="254"/>
      <c r="AD143" s="254"/>
      <c r="AE143" s="254"/>
      <c r="AF143" s="254"/>
      <c r="AG143" s="254"/>
      <c r="AH143" s="254"/>
      <c r="AI143" s="254"/>
      <c r="AJ143" s="254"/>
    </row>
    <row r="144" spans="1:36">
      <c r="A144" s="254"/>
      <c r="B144" s="254"/>
      <c r="C144" s="254"/>
      <c r="D144" s="254"/>
      <c r="E144" s="254"/>
      <c r="F144" s="254"/>
      <c r="G144" s="254"/>
      <c r="H144" s="254"/>
      <c r="I144" s="254"/>
      <c r="J144" s="378"/>
      <c r="K144" s="254"/>
      <c r="L144" s="254"/>
      <c r="M144" s="254"/>
      <c r="N144" s="254"/>
      <c r="P144" s="254"/>
      <c r="Q144" s="254"/>
      <c r="R144" s="254"/>
      <c r="S144" s="254"/>
      <c r="T144" s="254"/>
      <c r="U144" s="254"/>
      <c r="V144" s="254"/>
      <c r="W144" s="254"/>
      <c r="X144" s="254"/>
      <c r="Y144" s="254"/>
      <c r="Z144" s="254"/>
      <c r="AA144" s="254"/>
      <c r="AB144" s="254"/>
      <c r="AC144" s="254"/>
      <c r="AD144" s="254"/>
      <c r="AE144" s="254"/>
      <c r="AF144" s="254"/>
      <c r="AG144" s="254"/>
      <c r="AH144" s="254"/>
      <c r="AI144" s="254"/>
      <c r="AJ144" s="254"/>
    </row>
    <row r="145" spans="1:36">
      <c r="A145" s="254"/>
      <c r="B145" s="254"/>
      <c r="C145" s="254"/>
      <c r="D145" s="254"/>
      <c r="E145" s="254"/>
      <c r="F145" s="254"/>
      <c r="G145" s="254"/>
      <c r="H145" s="254"/>
      <c r="I145" s="254"/>
      <c r="J145" s="378"/>
      <c r="K145" s="254"/>
      <c r="L145" s="254"/>
      <c r="M145" s="254"/>
      <c r="N145" s="254"/>
      <c r="P145" s="254"/>
      <c r="Q145" s="254"/>
      <c r="R145" s="254"/>
      <c r="S145" s="254"/>
      <c r="T145" s="254"/>
      <c r="U145" s="254"/>
      <c r="V145" s="254"/>
      <c r="W145" s="254"/>
      <c r="X145" s="254"/>
      <c r="Y145" s="254"/>
      <c r="Z145" s="254"/>
      <c r="AA145" s="254"/>
      <c r="AB145" s="254"/>
      <c r="AC145" s="254"/>
      <c r="AD145" s="254"/>
      <c r="AE145" s="254"/>
      <c r="AF145" s="254"/>
      <c r="AG145" s="254"/>
      <c r="AH145" s="254"/>
      <c r="AI145" s="254"/>
      <c r="AJ145" s="254"/>
    </row>
    <row r="146" spans="1:36">
      <c r="A146" s="254"/>
      <c r="B146" s="254"/>
      <c r="C146" s="254"/>
      <c r="D146" s="254"/>
      <c r="E146" s="254"/>
      <c r="F146" s="254"/>
      <c r="G146" s="254"/>
      <c r="H146" s="254"/>
      <c r="I146" s="254"/>
      <c r="J146" s="378"/>
      <c r="K146" s="254"/>
      <c r="L146" s="254"/>
      <c r="M146" s="254"/>
      <c r="N146" s="254"/>
      <c r="P146" s="254"/>
      <c r="Q146" s="254"/>
      <c r="R146" s="254"/>
      <c r="S146" s="254"/>
      <c r="T146" s="254"/>
      <c r="U146" s="254"/>
      <c r="V146" s="254"/>
      <c r="W146" s="254"/>
      <c r="X146" s="254"/>
      <c r="Y146" s="254"/>
      <c r="Z146" s="254"/>
      <c r="AA146" s="254"/>
      <c r="AB146" s="254"/>
      <c r="AC146" s="254"/>
      <c r="AD146" s="254"/>
      <c r="AE146" s="254"/>
      <c r="AF146" s="254"/>
      <c r="AG146" s="254"/>
      <c r="AH146" s="254"/>
      <c r="AI146" s="254"/>
      <c r="AJ146" s="254"/>
    </row>
    <row r="147" spans="1:36">
      <c r="A147" s="254"/>
      <c r="B147" s="254"/>
      <c r="C147" s="254"/>
      <c r="D147" s="254"/>
      <c r="E147" s="254"/>
      <c r="F147" s="254"/>
      <c r="G147" s="254"/>
      <c r="H147" s="254"/>
      <c r="I147" s="254"/>
      <c r="J147" s="378"/>
      <c r="K147" s="254"/>
      <c r="L147" s="254"/>
      <c r="M147" s="254"/>
      <c r="N147" s="254"/>
      <c r="P147" s="254"/>
      <c r="Q147" s="254"/>
      <c r="R147" s="254"/>
      <c r="S147" s="254"/>
      <c r="T147" s="254"/>
      <c r="U147" s="254"/>
      <c r="V147" s="254"/>
      <c r="W147" s="254"/>
      <c r="X147" s="254"/>
      <c r="Y147" s="254"/>
      <c r="Z147" s="254"/>
      <c r="AA147" s="254"/>
      <c r="AB147" s="254"/>
      <c r="AC147" s="254"/>
      <c r="AD147" s="254"/>
      <c r="AE147" s="254"/>
      <c r="AF147" s="254"/>
      <c r="AG147" s="254"/>
      <c r="AH147" s="254"/>
      <c r="AI147" s="254"/>
      <c r="AJ147" s="254"/>
    </row>
    <row r="148" spans="1:36">
      <c r="A148" s="254"/>
      <c r="B148" s="254"/>
      <c r="C148" s="254"/>
      <c r="D148" s="254"/>
      <c r="E148" s="254"/>
      <c r="F148" s="254"/>
      <c r="G148" s="254"/>
      <c r="H148" s="254"/>
      <c r="I148" s="254"/>
      <c r="J148" s="378"/>
      <c r="K148" s="254"/>
      <c r="L148" s="254"/>
      <c r="M148" s="254"/>
      <c r="N148" s="254"/>
      <c r="P148" s="254"/>
      <c r="Q148" s="254"/>
      <c r="R148" s="254"/>
      <c r="S148" s="254"/>
      <c r="T148" s="254"/>
      <c r="U148" s="254"/>
      <c r="V148" s="254"/>
      <c r="W148" s="254"/>
      <c r="X148" s="254"/>
      <c r="Y148" s="254"/>
      <c r="Z148" s="254"/>
      <c r="AA148" s="254"/>
      <c r="AB148" s="254"/>
      <c r="AC148" s="254"/>
      <c r="AD148" s="254"/>
      <c r="AE148" s="254"/>
      <c r="AF148" s="254"/>
      <c r="AG148" s="254"/>
      <c r="AH148" s="254"/>
      <c r="AI148" s="254"/>
      <c r="AJ148" s="254"/>
    </row>
    <row r="149" spans="1:36">
      <c r="A149" s="254"/>
      <c r="B149" s="254"/>
      <c r="C149" s="254"/>
      <c r="D149" s="254"/>
      <c r="E149" s="254"/>
      <c r="F149" s="254"/>
      <c r="G149" s="254"/>
      <c r="H149" s="254"/>
      <c r="I149" s="254"/>
      <c r="J149" s="378"/>
      <c r="K149" s="254"/>
      <c r="L149" s="254"/>
      <c r="M149" s="254"/>
      <c r="N149" s="254"/>
      <c r="P149" s="254"/>
      <c r="Q149" s="254"/>
      <c r="R149" s="254"/>
      <c r="S149" s="254"/>
      <c r="T149" s="254"/>
      <c r="U149" s="254"/>
      <c r="V149" s="254"/>
      <c r="W149" s="254"/>
      <c r="X149" s="254"/>
      <c r="Y149" s="254"/>
      <c r="Z149" s="254"/>
      <c r="AA149" s="254"/>
      <c r="AB149" s="254"/>
      <c r="AC149" s="254"/>
      <c r="AD149" s="254"/>
      <c r="AE149" s="254"/>
      <c r="AF149" s="254"/>
      <c r="AG149" s="254"/>
      <c r="AH149" s="254"/>
      <c r="AI149" s="254"/>
      <c r="AJ149" s="254"/>
    </row>
    <row r="150" spans="1:36">
      <c r="A150" s="254"/>
      <c r="B150" s="254"/>
      <c r="C150" s="254"/>
      <c r="D150" s="254"/>
      <c r="E150" s="254"/>
      <c r="F150" s="254"/>
      <c r="G150" s="254"/>
      <c r="H150" s="254"/>
      <c r="I150" s="254"/>
      <c r="J150" s="378"/>
      <c r="K150" s="254"/>
      <c r="L150" s="254"/>
      <c r="M150" s="254"/>
      <c r="N150" s="254"/>
      <c r="P150" s="254"/>
      <c r="Q150" s="254"/>
      <c r="R150" s="254"/>
      <c r="S150" s="254"/>
      <c r="T150" s="254"/>
      <c r="U150" s="254"/>
      <c r="V150" s="254"/>
      <c r="W150" s="254"/>
      <c r="X150" s="254"/>
      <c r="Y150" s="254"/>
      <c r="Z150" s="254"/>
      <c r="AA150" s="254"/>
      <c r="AB150" s="254"/>
      <c r="AC150" s="254"/>
      <c r="AD150" s="254"/>
      <c r="AE150" s="254"/>
      <c r="AF150" s="254"/>
      <c r="AG150" s="254"/>
      <c r="AH150" s="254"/>
      <c r="AI150" s="254"/>
      <c r="AJ150" s="254"/>
    </row>
    <row r="151" spans="1:36">
      <c r="A151" s="254"/>
      <c r="B151" s="254"/>
      <c r="C151" s="254"/>
      <c r="D151" s="254"/>
      <c r="E151" s="254"/>
      <c r="F151" s="254"/>
      <c r="G151" s="254"/>
      <c r="H151" s="254"/>
      <c r="I151" s="254"/>
      <c r="J151" s="378"/>
      <c r="K151" s="254"/>
      <c r="L151" s="254"/>
      <c r="M151" s="254"/>
      <c r="N151" s="254"/>
      <c r="P151" s="254"/>
      <c r="Q151" s="254"/>
      <c r="R151" s="254"/>
      <c r="S151" s="254"/>
      <c r="T151" s="254"/>
      <c r="U151" s="254"/>
      <c r="V151" s="254"/>
      <c r="W151" s="254"/>
      <c r="X151" s="254"/>
      <c r="Y151" s="254"/>
      <c r="Z151" s="254"/>
      <c r="AA151" s="254"/>
      <c r="AB151" s="254"/>
      <c r="AC151" s="254"/>
      <c r="AD151" s="254"/>
      <c r="AE151" s="254"/>
      <c r="AF151" s="254"/>
      <c r="AG151" s="254"/>
      <c r="AH151" s="254"/>
      <c r="AI151" s="254"/>
      <c r="AJ151" s="254"/>
    </row>
    <row r="152" spans="1:36">
      <c r="A152" s="254"/>
      <c r="B152" s="254"/>
      <c r="C152" s="254"/>
      <c r="D152" s="254"/>
      <c r="E152" s="254"/>
      <c r="F152" s="254"/>
      <c r="G152" s="254"/>
      <c r="H152" s="254"/>
      <c r="I152" s="254"/>
      <c r="J152" s="378"/>
      <c r="K152" s="254"/>
      <c r="L152" s="254"/>
      <c r="M152" s="254"/>
      <c r="N152" s="254"/>
      <c r="P152" s="254"/>
      <c r="Q152" s="254"/>
      <c r="R152" s="254"/>
      <c r="S152" s="254"/>
      <c r="T152" s="254"/>
      <c r="U152" s="254"/>
      <c r="V152" s="254"/>
      <c r="W152" s="254"/>
      <c r="X152" s="254"/>
      <c r="Y152" s="254"/>
      <c r="Z152" s="254"/>
      <c r="AA152" s="254"/>
      <c r="AB152" s="254"/>
      <c r="AC152" s="254"/>
      <c r="AD152" s="254"/>
      <c r="AE152" s="254"/>
      <c r="AF152" s="254"/>
      <c r="AG152" s="254"/>
      <c r="AH152" s="254"/>
      <c r="AI152" s="254"/>
      <c r="AJ152" s="254"/>
    </row>
    <row r="153" spans="1:36">
      <c r="A153" s="254"/>
      <c r="B153" s="254"/>
      <c r="C153" s="254"/>
      <c r="D153" s="254"/>
      <c r="E153" s="254"/>
      <c r="F153" s="254"/>
      <c r="G153" s="254"/>
      <c r="H153" s="254"/>
      <c r="I153" s="254"/>
      <c r="J153" s="378"/>
      <c r="K153" s="254"/>
      <c r="L153" s="254"/>
      <c r="M153" s="254"/>
      <c r="N153" s="254"/>
      <c r="P153" s="254"/>
      <c r="Q153" s="254"/>
      <c r="R153" s="254"/>
      <c r="S153" s="254"/>
      <c r="T153" s="254"/>
      <c r="U153" s="254"/>
      <c r="V153" s="254"/>
      <c r="W153" s="254"/>
      <c r="X153" s="254"/>
      <c r="Y153" s="254"/>
      <c r="Z153" s="254"/>
      <c r="AA153" s="254"/>
      <c r="AB153" s="254"/>
      <c r="AC153" s="254"/>
      <c r="AD153" s="254"/>
      <c r="AE153" s="254"/>
      <c r="AF153" s="254"/>
      <c r="AG153" s="254"/>
      <c r="AH153" s="254"/>
      <c r="AI153" s="254"/>
      <c r="AJ153" s="254"/>
    </row>
    <row r="154" spans="1:36">
      <c r="A154" s="254"/>
      <c r="B154" s="254"/>
      <c r="C154" s="254"/>
      <c r="D154" s="254"/>
      <c r="E154" s="254"/>
      <c r="F154" s="254"/>
      <c r="G154" s="254"/>
      <c r="H154" s="254"/>
      <c r="I154" s="254"/>
      <c r="J154" s="378"/>
      <c r="K154" s="254"/>
      <c r="L154" s="254"/>
      <c r="M154" s="254"/>
      <c r="N154" s="254"/>
      <c r="P154" s="254"/>
      <c r="Q154" s="254"/>
      <c r="R154" s="254"/>
      <c r="S154" s="254"/>
      <c r="T154" s="254"/>
      <c r="U154" s="254"/>
      <c r="V154" s="254"/>
      <c r="W154" s="254"/>
      <c r="X154" s="254"/>
      <c r="Y154" s="254"/>
      <c r="Z154" s="254"/>
      <c r="AA154" s="254"/>
      <c r="AB154" s="254"/>
      <c r="AC154" s="254"/>
      <c r="AD154" s="254"/>
      <c r="AE154" s="254"/>
      <c r="AF154" s="254"/>
      <c r="AG154" s="254"/>
      <c r="AH154" s="254"/>
      <c r="AI154" s="254"/>
      <c r="AJ154" s="254"/>
    </row>
    <row r="155" spans="1:36">
      <c r="A155" s="254"/>
      <c r="B155" s="254"/>
      <c r="C155" s="254"/>
      <c r="D155" s="254"/>
      <c r="E155" s="254"/>
      <c r="F155" s="254"/>
      <c r="G155" s="254"/>
      <c r="H155" s="254"/>
      <c r="I155" s="254"/>
      <c r="J155" s="378"/>
      <c r="K155" s="254"/>
      <c r="L155" s="254"/>
      <c r="M155" s="254"/>
      <c r="N155" s="254"/>
      <c r="P155" s="254"/>
      <c r="Q155" s="254"/>
      <c r="R155" s="254"/>
      <c r="S155" s="254"/>
      <c r="T155" s="254"/>
      <c r="U155" s="254"/>
      <c r="V155" s="254"/>
      <c r="W155" s="254"/>
      <c r="X155" s="254"/>
      <c r="Y155" s="254"/>
      <c r="Z155" s="254"/>
      <c r="AA155" s="254"/>
      <c r="AB155" s="254"/>
      <c r="AC155" s="254"/>
      <c r="AD155" s="254"/>
      <c r="AE155" s="254"/>
      <c r="AF155" s="254"/>
      <c r="AG155" s="254"/>
      <c r="AH155" s="254"/>
      <c r="AI155" s="254"/>
      <c r="AJ155" s="254"/>
    </row>
    <row r="156" spans="1:36">
      <c r="A156" s="254"/>
      <c r="B156" s="254"/>
      <c r="C156" s="254"/>
      <c r="D156" s="254"/>
      <c r="E156" s="254"/>
      <c r="F156" s="254"/>
      <c r="G156" s="254"/>
      <c r="H156" s="254"/>
      <c r="I156" s="254"/>
      <c r="J156" s="378"/>
      <c r="K156" s="254"/>
      <c r="L156" s="254"/>
      <c r="M156" s="254"/>
      <c r="N156" s="254"/>
      <c r="P156" s="254"/>
      <c r="Q156" s="254"/>
      <c r="R156" s="254"/>
      <c r="S156" s="254"/>
      <c r="T156" s="254"/>
      <c r="U156" s="254"/>
      <c r="V156" s="254"/>
      <c r="W156" s="254"/>
      <c r="X156" s="254"/>
      <c r="Y156" s="254"/>
      <c r="Z156" s="254"/>
      <c r="AA156" s="254"/>
      <c r="AB156" s="254"/>
      <c r="AC156" s="254"/>
      <c r="AD156" s="254"/>
      <c r="AE156" s="254"/>
      <c r="AF156" s="254"/>
      <c r="AG156" s="254"/>
      <c r="AH156" s="254"/>
      <c r="AI156" s="254"/>
      <c r="AJ156" s="254"/>
    </row>
    <row r="157" spans="1:36">
      <c r="A157" s="254"/>
      <c r="B157" s="254"/>
      <c r="C157" s="254"/>
      <c r="D157" s="254"/>
      <c r="E157" s="254"/>
      <c r="F157" s="254"/>
      <c r="G157" s="254"/>
      <c r="H157" s="254"/>
      <c r="I157" s="254"/>
      <c r="J157" s="378"/>
      <c r="K157" s="254"/>
      <c r="L157" s="254"/>
      <c r="M157" s="254"/>
      <c r="N157" s="254"/>
      <c r="P157" s="254"/>
      <c r="Q157" s="254"/>
      <c r="R157" s="254"/>
      <c r="S157" s="254"/>
      <c r="T157" s="254"/>
      <c r="U157" s="254"/>
      <c r="V157" s="254"/>
      <c r="W157" s="254"/>
      <c r="X157" s="254"/>
      <c r="Y157" s="254"/>
      <c r="Z157" s="254"/>
      <c r="AA157" s="254"/>
      <c r="AB157" s="254"/>
      <c r="AC157" s="254"/>
      <c r="AD157" s="254"/>
      <c r="AE157" s="254"/>
      <c r="AF157" s="254"/>
      <c r="AG157" s="254"/>
      <c r="AH157" s="254"/>
      <c r="AI157" s="254"/>
      <c r="AJ157" s="254"/>
    </row>
    <row r="158" spans="1:36">
      <c r="A158" s="254"/>
      <c r="B158" s="254"/>
      <c r="C158" s="254"/>
      <c r="D158" s="254"/>
      <c r="E158" s="254"/>
      <c r="F158" s="254"/>
      <c r="G158" s="254"/>
      <c r="H158" s="254"/>
      <c r="I158" s="254"/>
      <c r="J158" s="378"/>
      <c r="K158" s="254"/>
      <c r="L158" s="254"/>
      <c r="M158" s="254"/>
      <c r="N158" s="254"/>
      <c r="P158" s="254"/>
      <c r="Q158" s="254"/>
      <c r="R158" s="254"/>
      <c r="S158" s="254"/>
      <c r="T158" s="254"/>
      <c r="U158" s="254"/>
      <c r="V158" s="254"/>
      <c r="W158" s="254"/>
      <c r="X158" s="254"/>
      <c r="Y158" s="254"/>
      <c r="Z158" s="254"/>
      <c r="AA158" s="254"/>
      <c r="AB158" s="254"/>
      <c r="AC158" s="254"/>
      <c r="AD158" s="254"/>
      <c r="AE158" s="254"/>
      <c r="AF158" s="254"/>
      <c r="AG158" s="254"/>
      <c r="AH158" s="254"/>
      <c r="AI158" s="254"/>
      <c r="AJ158" s="254"/>
    </row>
    <row r="159" spans="1:36">
      <c r="A159" s="254"/>
      <c r="B159" s="254"/>
      <c r="C159" s="254"/>
      <c r="D159" s="254"/>
      <c r="E159" s="254"/>
      <c r="F159" s="254"/>
      <c r="G159" s="254"/>
      <c r="H159" s="254"/>
      <c r="I159" s="254"/>
      <c r="J159" s="378"/>
      <c r="K159" s="254"/>
      <c r="L159" s="254"/>
      <c r="M159" s="254"/>
      <c r="N159" s="254"/>
      <c r="P159" s="254"/>
      <c r="Q159" s="254"/>
      <c r="R159" s="254"/>
      <c r="S159" s="254"/>
      <c r="T159" s="254"/>
      <c r="U159" s="254"/>
      <c r="V159" s="254"/>
      <c r="W159" s="254"/>
      <c r="X159" s="254"/>
      <c r="Y159" s="254"/>
      <c r="Z159" s="254"/>
      <c r="AA159" s="254"/>
      <c r="AB159" s="254"/>
      <c r="AC159" s="254"/>
      <c r="AD159" s="254"/>
      <c r="AE159" s="254"/>
      <c r="AF159" s="254"/>
      <c r="AG159" s="254"/>
      <c r="AH159" s="254"/>
      <c r="AI159" s="254"/>
      <c r="AJ159" s="254"/>
    </row>
    <row r="160" spans="1:36">
      <c r="A160" s="254"/>
      <c r="B160" s="254"/>
      <c r="C160" s="254"/>
      <c r="D160" s="254"/>
      <c r="E160" s="254"/>
      <c r="F160" s="254"/>
      <c r="G160" s="254"/>
      <c r="H160" s="254"/>
      <c r="I160" s="254"/>
      <c r="J160" s="378"/>
      <c r="K160" s="254"/>
      <c r="L160" s="254"/>
      <c r="M160" s="254"/>
      <c r="N160" s="254"/>
      <c r="P160" s="254"/>
      <c r="Q160" s="254"/>
      <c r="R160" s="254"/>
      <c r="S160" s="254"/>
      <c r="T160" s="254"/>
      <c r="U160" s="254"/>
      <c r="V160" s="254"/>
      <c r="W160" s="254"/>
      <c r="X160" s="254"/>
      <c r="Y160" s="254"/>
      <c r="Z160" s="254"/>
      <c r="AA160" s="254"/>
      <c r="AB160" s="254"/>
      <c r="AC160" s="254"/>
      <c r="AD160" s="254"/>
      <c r="AE160" s="254"/>
      <c r="AF160" s="254"/>
      <c r="AG160" s="254"/>
      <c r="AH160" s="254"/>
      <c r="AI160" s="254"/>
      <c r="AJ160" s="254"/>
    </row>
    <row r="161" spans="1:36">
      <c r="A161" s="254"/>
      <c r="B161" s="254"/>
      <c r="C161" s="254"/>
      <c r="D161" s="254"/>
      <c r="E161" s="254"/>
      <c r="F161" s="254"/>
      <c r="G161" s="254"/>
      <c r="H161" s="254"/>
      <c r="I161" s="254"/>
      <c r="J161" s="378"/>
      <c r="K161" s="254"/>
      <c r="L161" s="254"/>
      <c r="M161" s="254"/>
      <c r="N161" s="254"/>
      <c r="P161" s="254"/>
      <c r="Q161" s="254"/>
      <c r="R161" s="254"/>
      <c r="S161" s="254"/>
      <c r="T161" s="254"/>
      <c r="U161" s="254"/>
      <c r="V161" s="254"/>
      <c r="W161" s="254"/>
      <c r="X161" s="254"/>
      <c r="Y161" s="254"/>
      <c r="Z161" s="254"/>
      <c r="AA161" s="254"/>
      <c r="AB161" s="254"/>
      <c r="AC161" s="254"/>
      <c r="AD161" s="254"/>
      <c r="AE161" s="254"/>
      <c r="AF161" s="254"/>
      <c r="AG161" s="254"/>
      <c r="AH161" s="254"/>
      <c r="AI161" s="254"/>
      <c r="AJ161" s="254"/>
    </row>
    <row r="162" spans="1:36">
      <c r="A162" s="254"/>
      <c r="B162" s="254"/>
      <c r="C162" s="254"/>
      <c r="D162" s="254"/>
      <c r="E162" s="254"/>
      <c r="F162" s="254"/>
      <c r="G162" s="254"/>
      <c r="H162" s="254"/>
      <c r="I162" s="254"/>
      <c r="J162" s="378"/>
      <c r="K162" s="254"/>
      <c r="L162" s="254"/>
      <c r="M162" s="254"/>
      <c r="N162" s="254"/>
      <c r="P162" s="254"/>
      <c r="Q162" s="254"/>
      <c r="R162" s="254"/>
      <c r="S162" s="254"/>
      <c r="T162" s="254"/>
      <c r="U162" s="254"/>
      <c r="V162" s="254"/>
      <c r="W162" s="254"/>
      <c r="X162" s="254"/>
      <c r="Y162" s="254"/>
      <c r="Z162" s="254"/>
      <c r="AA162" s="254"/>
      <c r="AB162" s="254"/>
      <c r="AC162" s="254"/>
      <c r="AD162" s="254"/>
      <c r="AE162" s="254"/>
      <c r="AF162" s="254"/>
      <c r="AG162" s="254"/>
      <c r="AH162" s="254"/>
      <c r="AI162" s="254"/>
      <c r="AJ162" s="254"/>
    </row>
    <row r="163" spans="1:36">
      <c r="A163" s="254"/>
      <c r="B163" s="254"/>
      <c r="C163" s="254"/>
      <c r="D163" s="254"/>
      <c r="E163" s="254"/>
      <c r="F163" s="254"/>
      <c r="G163" s="254"/>
      <c r="H163" s="254"/>
      <c r="I163" s="254"/>
      <c r="J163" s="378"/>
      <c r="K163" s="254"/>
      <c r="L163" s="254"/>
      <c r="M163" s="254"/>
      <c r="N163" s="254"/>
      <c r="P163" s="254"/>
      <c r="Q163" s="254"/>
      <c r="R163" s="254"/>
      <c r="S163" s="254"/>
      <c r="T163" s="254"/>
      <c r="U163" s="254"/>
      <c r="V163" s="254"/>
      <c r="W163" s="254"/>
      <c r="X163" s="254"/>
      <c r="Y163" s="254"/>
      <c r="Z163" s="254"/>
      <c r="AA163" s="254"/>
      <c r="AB163" s="254"/>
      <c r="AC163" s="254"/>
      <c r="AD163" s="254"/>
      <c r="AE163" s="254"/>
      <c r="AF163" s="254"/>
      <c r="AG163" s="254"/>
      <c r="AH163" s="254"/>
      <c r="AI163" s="254"/>
      <c r="AJ163" s="254"/>
    </row>
    <row r="164" spans="1:36">
      <c r="A164" s="254"/>
      <c r="B164" s="254"/>
      <c r="C164" s="254"/>
      <c r="D164" s="254"/>
      <c r="E164" s="254"/>
      <c r="F164" s="254"/>
      <c r="G164" s="254"/>
      <c r="H164" s="254"/>
      <c r="I164" s="254"/>
      <c r="J164" s="378"/>
      <c r="K164" s="254"/>
      <c r="L164" s="254"/>
      <c r="M164" s="254"/>
      <c r="N164" s="254"/>
      <c r="P164" s="254"/>
      <c r="Q164" s="254"/>
      <c r="R164" s="254"/>
      <c r="S164" s="254"/>
      <c r="T164" s="254"/>
      <c r="U164" s="254"/>
      <c r="V164" s="254"/>
      <c r="W164" s="254"/>
      <c r="X164" s="254"/>
      <c r="Y164" s="254"/>
      <c r="Z164" s="254"/>
      <c r="AA164" s="254"/>
      <c r="AB164" s="254"/>
      <c r="AC164" s="254"/>
      <c r="AD164" s="254"/>
      <c r="AE164" s="254"/>
      <c r="AF164" s="254"/>
      <c r="AG164" s="254"/>
      <c r="AH164" s="254"/>
      <c r="AI164" s="254"/>
      <c r="AJ164" s="254"/>
    </row>
    <row r="165" spans="1:36">
      <c r="A165" s="254"/>
      <c r="B165" s="254"/>
      <c r="C165" s="254"/>
      <c r="D165" s="254"/>
      <c r="E165" s="254"/>
      <c r="F165" s="254"/>
      <c r="G165" s="254"/>
      <c r="H165" s="254"/>
      <c r="I165" s="254"/>
      <c r="J165" s="378"/>
      <c r="K165" s="254"/>
      <c r="L165" s="254"/>
      <c r="M165" s="254"/>
      <c r="N165" s="254"/>
      <c r="P165" s="254"/>
      <c r="Q165" s="254"/>
      <c r="R165" s="254"/>
      <c r="S165" s="254"/>
      <c r="T165" s="254"/>
      <c r="U165" s="254"/>
      <c r="V165" s="254"/>
      <c r="W165" s="254"/>
      <c r="X165" s="254"/>
      <c r="Y165" s="254"/>
      <c r="Z165" s="254"/>
      <c r="AA165" s="254"/>
      <c r="AB165" s="254"/>
      <c r="AC165" s="254"/>
      <c r="AD165" s="254"/>
      <c r="AE165" s="254"/>
      <c r="AF165" s="254"/>
      <c r="AG165" s="254"/>
      <c r="AH165" s="254"/>
      <c r="AI165" s="254"/>
      <c r="AJ165" s="254"/>
    </row>
    <row r="166" spans="1:36">
      <c r="A166" s="254"/>
      <c r="B166" s="254"/>
      <c r="C166" s="254"/>
      <c r="D166" s="254"/>
      <c r="E166" s="254"/>
      <c r="F166" s="254"/>
      <c r="G166" s="254"/>
      <c r="H166" s="254"/>
      <c r="I166" s="254"/>
      <c r="J166" s="378"/>
      <c r="K166" s="254"/>
      <c r="L166" s="254"/>
      <c r="M166" s="254"/>
      <c r="N166" s="254"/>
      <c r="P166" s="254"/>
      <c r="Q166" s="254"/>
      <c r="R166" s="254"/>
      <c r="S166" s="254"/>
      <c r="T166" s="254"/>
      <c r="U166" s="254"/>
      <c r="V166" s="254"/>
      <c r="W166" s="254"/>
      <c r="X166" s="254"/>
      <c r="Y166" s="254"/>
      <c r="Z166" s="254"/>
      <c r="AA166" s="254"/>
      <c r="AB166" s="254"/>
      <c r="AC166" s="254"/>
      <c r="AD166" s="254"/>
      <c r="AE166" s="254"/>
      <c r="AF166" s="254"/>
      <c r="AG166" s="254"/>
      <c r="AH166" s="254"/>
      <c r="AI166" s="254"/>
      <c r="AJ166" s="254"/>
    </row>
    <row r="167" spans="1:36">
      <c r="A167" s="254"/>
      <c r="B167" s="254"/>
      <c r="C167" s="254"/>
      <c r="D167" s="254"/>
      <c r="E167" s="254"/>
      <c r="F167" s="254"/>
      <c r="G167" s="254"/>
      <c r="H167" s="254"/>
      <c r="I167" s="254"/>
      <c r="J167" s="378"/>
      <c r="K167" s="254"/>
      <c r="L167" s="254"/>
      <c r="M167" s="254"/>
      <c r="N167" s="254"/>
      <c r="P167" s="254"/>
      <c r="Q167" s="254"/>
      <c r="R167" s="254"/>
      <c r="S167" s="254"/>
      <c r="T167" s="254"/>
      <c r="U167" s="254"/>
      <c r="V167" s="254"/>
      <c r="W167" s="254"/>
      <c r="X167" s="254"/>
      <c r="Y167" s="254"/>
      <c r="Z167" s="254"/>
      <c r="AA167" s="254"/>
      <c r="AB167" s="254"/>
      <c r="AC167" s="254"/>
      <c r="AD167" s="254"/>
      <c r="AE167" s="254"/>
      <c r="AF167" s="254"/>
      <c r="AG167" s="254"/>
      <c r="AH167" s="254"/>
      <c r="AI167" s="254"/>
      <c r="AJ167" s="254"/>
    </row>
    <row r="168" spans="1:36">
      <c r="A168" s="254"/>
      <c r="B168" s="254"/>
      <c r="C168" s="254"/>
      <c r="D168" s="254"/>
      <c r="E168" s="254"/>
      <c r="F168" s="254"/>
      <c r="G168" s="254"/>
      <c r="H168" s="254"/>
      <c r="I168" s="254"/>
      <c r="J168" s="378"/>
      <c r="K168" s="254"/>
      <c r="L168" s="254"/>
      <c r="M168" s="254"/>
      <c r="N168" s="254"/>
      <c r="P168" s="254"/>
      <c r="Q168" s="254"/>
      <c r="R168" s="254"/>
      <c r="S168" s="254"/>
      <c r="T168" s="254"/>
      <c r="U168" s="254"/>
      <c r="V168" s="254"/>
      <c r="W168" s="254"/>
      <c r="X168" s="254"/>
      <c r="Y168" s="254"/>
      <c r="Z168" s="254"/>
      <c r="AA168" s="254"/>
      <c r="AB168" s="254"/>
      <c r="AC168" s="254"/>
      <c r="AD168" s="254"/>
      <c r="AE168" s="254"/>
      <c r="AF168" s="254"/>
      <c r="AG168" s="254"/>
      <c r="AH168" s="254"/>
      <c r="AI168" s="254"/>
      <c r="AJ168" s="254"/>
    </row>
    <row r="169" spans="1:36">
      <c r="A169" s="254"/>
      <c r="B169" s="254"/>
      <c r="C169" s="254"/>
      <c r="D169" s="254"/>
      <c r="E169" s="254"/>
      <c r="F169" s="254"/>
      <c r="G169" s="254"/>
      <c r="H169" s="254"/>
      <c r="I169" s="254"/>
      <c r="J169" s="378"/>
      <c r="K169" s="254"/>
      <c r="L169" s="254"/>
      <c r="M169" s="254"/>
      <c r="N169" s="254"/>
      <c r="P169" s="254"/>
      <c r="Q169" s="254"/>
      <c r="R169" s="254"/>
      <c r="S169" s="254"/>
      <c r="T169" s="254"/>
      <c r="U169" s="254"/>
      <c r="V169" s="254"/>
      <c r="W169" s="254"/>
      <c r="X169" s="254"/>
      <c r="Y169" s="254"/>
      <c r="Z169" s="254"/>
      <c r="AA169" s="254"/>
      <c r="AB169" s="254"/>
      <c r="AC169" s="254"/>
      <c r="AD169" s="254"/>
      <c r="AE169" s="254"/>
      <c r="AF169" s="254"/>
      <c r="AG169" s="254"/>
      <c r="AH169" s="254"/>
      <c r="AI169" s="254"/>
      <c r="AJ169" s="254"/>
    </row>
    <row r="170" spans="1:36">
      <c r="A170" s="254"/>
      <c r="B170" s="254"/>
      <c r="C170" s="254"/>
      <c r="D170" s="254"/>
      <c r="E170" s="254"/>
      <c r="F170" s="254"/>
      <c r="G170" s="254"/>
      <c r="H170" s="254"/>
      <c r="I170" s="254"/>
      <c r="J170" s="378"/>
      <c r="K170" s="254"/>
      <c r="L170" s="254"/>
      <c r="M170" s="254"/>
      <c r="N170" s="254"/>
      <c r="P170" s="254"/>
      <c r="Q170" s="254"/>
      <c r="R170" s="254"/>
      <c r="S170" s="254"/>
      <c r="T170" s="254"/>
      <c r="U170" s="254"/>
      <c r="V170" s="254"/>
      <c r="W170" s="254"/>
      <c r="X170" s="254"/>
      <c r="Y170" s="254"/>
      <c r="Z170" s="254"/>
      <c r="AA170" s="254"/>
      <c r="AB170" s="254"/>
      <c r="AC170" s="254"/>
      <c r="AD170" s="254"/>
      <c r="AE170" s="254"/>
      <c r="AF170" s="254"/>
      <c r="AG170" s="254"/>
      <c r="AH170" s="254"/>
      <c r="AI170" s="254"/>
      <c r="AJ170" s="254"/>
    </row>
    <row r="171" spans="1:36">
      <c r="A171" s="254"/>
      <c r="B171" s="254"/>
      <c r="C171" s="254"/>
      <c r="D171" s="254"/>
      <c r="E171" s="254"/>
      <c r="F171" s="254"/>
      <c r="G171" s="254"/>
      <c r="H171" s="254"/>
      <c r="I171" s="254"/>
      <c r="J171" s="378"/>
      <c r="K171" s="254"/>
      <c r="L171" s="254"/>
      <c r="M171" s="254"/>
      <c r="N171" s="254"/>
      <c r="P171" s="254"/>
      <c r="Q171" s="254"/>
      <c r="R171" s="254"/>
      <c r="S171" s="254"/>
      <c r="T171" s="254"/>
      <c r="U171" s="254"/>
      <c r="V171" s="254"/>
      <c r="W171" s="254"/>
      <c r="X171" s="254"/>
      <c r="Y171" s="254"/>
      <c r="Z171" s="254"/>
      <c r="AA171" s="254"/>
      <c r="AB171" s="254"/>
      <c r="AC171" s="254"/>
      <c r="AD171" s="254"/>
      <c r="AE171" s="254"/>
      <c r="AF171" s="254"/>
      <c r="AG171" s="254"/>
      <c r="AH171" s="254"/>
      <c r="AI171" s="254"/>
      <c r="AJ171" s="254"/>
    </row>
    <row r="172" spans="1:36">
      <c r="A172" s="254"/>
      <c r="B172" s="254"/>
      <c r="C172" s="254"/>
      <c r="D172" s="254"/>
      <c r="E172" s="254"/>
      <c r="F172" s="254"/>
      <c r="G172" s="254"/>
      <c r="H172" s="254"/>
      <c r="I172" s="254"/>
      <c r="J172" s="378"/>
      <c r="K172" s="254"/>
      <c r="L172" s="254"/>
      <c r="M172" s="254"/>
      <c r="N172" s="254"/>
      <c r="P172" s="254"/>
      <c r="Q172" s="254"/>
      <c r="R172" s="254"/>
      <c r="S172" s="254"/>
      <c r="T172" s="254"/>
      <c r="U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</row>
    <row r="173" spans="1:36">
      <c r="A173" s="254"/>
      <c r="B173" s="254"/>
      <c r="C173" s="254"/>
      <c r="D173" s="254"/>
      <c r="E173" s="254"/>
      <c r="F173" s="254"/>
      <c r="G173" s="254"/>
      <c r="H173" s="254"/>
      <c r="I173" s="254"/>
      <c r="J173" s="378"/>
      <c r="K173" s="254"/>
      <c r="L173" s="254"/>
      <c r="M173" s="254"/>
      <c r="N173" s="254"/>
      <c r="P173" s="254"/>
      <c r="Q173" s="254"/>
      <c r="R173" s="254"/>
      <c r="S173" s="254"/>
      <c r="T173" s="254"/>
      <c r="U173" s="254"/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</row>
    <row r="174" spans="1:36">
      <c r="A174" s="254"/>
      <c r="B174" s="254"/>
      <c r="C174" s="254"/>
      <c r="D174" s="254"/>
      <c r="E174" s="254"/>
      <c r="F174" s="254"/>
      <c r="G174" s="254"/>
      <c r="H174" s="254"/>
      <c r="I174" s="254"/>
      <c r="J174" s="378"/>
      <c r="K174" s="254"/>
      <c r="L174" s="254"/>
      <c r="M174" s="254"/>
      <c r="N174" s="254"/>
      <c r="P174" s="254"/>
      <c r="Q174" s="254"/>
      <c r="R174" s="254"/>
      <c r="S174" s="254"/>
      <c r="T174" s="254"/>
      <c r="U174" s="254"/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</row>
    <row r="175" spans="1:36">
      <c r="A175" s="254"/>
      <c r="B175" s="254"/>
      <c r="C175" s="254"/>
      <c r="D175" s="254"/>
      <c r="E175" s="254"/>
      <c r="F175" s="254"/>
      <c r="G175" s="254"/>
      <c r="H175" s="254"/>
      <c r="I175" s="254"/>
      <c r="J175" s="378"/>
      <c r="K175" s="254"/>
      <c r="L175" s="254"/>
      <c r="M175" s="254"/>
      <c r="N175" s="254"/>
      <c r="P175" s="254"/>
      <c r="Q175" s="254"/>
      <c r="R175" s="254"/>
      <c r="S175" s="254"/>
      <c r="T175" s="254"/>
      <c r="U175" s="254"/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</row>
    <row r="176" spans="1:36">
      <c r="A176" s="254"/>
      <c r="B176" s="254"/>
      <c r="C176" s="254"/>
      <c r="D176" s="254"/>
      <c r="E176" s="254"/>
      <c r="F176" s="254"/>
      <c r="G176" s="254"/>
      <c r="H176" s="254"/>
      <c r="I176" s="254"/>
      <c r="J176" s="378"/>
      <c r="K176" s="254"/>
      <c r="L176" s="254"/>
      <c r="M176" s="254"/>
      <c r="N176" s="254"/>
      <c r="P176" s="254"/>
      <c r="Q176" s="254"/>
      <c r="R176" s="254"/>
      <c r="S176" s="254"/>
      <c r="T176" s="254"/>
      <c r="U176" s="254"/>
      <c r="V176" s="254"/>
      <c r="W176" s="254"/>
      <c r="X176" s="254"/>
      <c r="Y176" s="254"/>
      <c r="Z176" s="254"/>
      <c r="AA176" s="254"/>
      <c r="AB176" s="254"/>
      <c r="AC176" s="254"/>
      <c r="AD176" s="254"/>
      <c r="AE176" s="254"/>
      <c r="AF176" s="254"/>
      <c r="AG176" s="254"/>
      <c r="AH176" s="254"/>
      <c r="AI176" s="254"/>
      <c r="AJ176" s="254"/>
    </row>
    <row r="177" spans="1:36">
      <c r="A177" s="254"/>
      <c r="B177" s="254"/>
      <c r="C177" s="254"/>
      <c r="D177" s="254"/>
      <c r="E177" s="254"/>
      <c r="F177" s="254"/>
      <c r="G177" s="254"/>
      <c r="H177" s="254"/>
      <c r="I177" s="254"/>
      <c r="J177" s="378"/>
      <c r="K177" s="254"/>
      <c r="L177" s="254"/>
      <c r="M177" s="254"/>
      <c r="N177" s="254"/>
      <c r="P177" s="254"/>
      <c r="Q177" s="254"/>
      <c r="R177" s="254"/>
      <c r="S177" s="254"/>
      <c r="T177" s="254"/>
      <c r="U177" s="254"/>
      <c r="V177" s="254"/>
      <c r="W177" s="254"/>
      <c r="X177" s="254"/>
      <c r="Y177" s="254"/>
      <c r="Z177" s="254"/>
      <c r="AA177" s="254"/>
      <c r="AB177" s="254"/>
      <c r="AC177" s="254"/>
      <c r="AD177" s="254"/>
      <c r="AE177" s="254"/>
      <c r="AF177" s="254"/>
      <c r="AG177" s="254"/>
      <c r="AH177" s="254"/>
      <c r="AI177" s="254"/>
      <c r="AJ177" s="254"/>
    </row>
    <row r="178" spans="1:36">
      <c r="A178" s="254"/>
      <c r="B178" s="254"/>
      <c r="C178" s="254"/>
      <c r="D178" s="254"/>
      <c r="E178" s="254"/>
      <c r="F178" s="254"/>
      <c r="G178" s="254"/>
      <c r="H178" s="254"/>
      <c r="I178" s="254"/>
      <c r="J178" s="378"/>
      <c r="K178" s="254"/>
      <c r="L178" s="254"/>
      <c r="M178" s="254"/>
      <c r="N178" s="254"/>
      <c r="P178" s="254"/>
      <c r="Q178" s="254"/>
      <c r="R178" s="254"/>
      <c r="S178" s="254"/>
      <c r="T178" s="254"/>
      <c r="U178" s="254"/>
      <c r="V178" s="254"/>
      <c r="W178" s="254"/>
      <c r="X178" s="254"/>
      <c r="Y178" s="254"/>
      <c r="Z178" s="254"/>
      <c r="AA178" s="254"/>
      <c r="AB178" s="254"/>
      <c r="AC178" s="254"/>
      <c r="AD178" s="254"/>
      <c r="AE178" s="254"/>
      <c r="AF178" s="254"/>
      <c r="AG178" s="254"/>
      <c r="AH178" s="254"/>
      <c r="AI178" s="254"/>
      <c r="AJ178" s="254"/>
    </row>
    <row r="179" spans="1:36">
      <c r="A179" s="254"/>
      <c r="B179" s="254"/>
      <c r="C179" s="254"/>
      <c r="D179" s="254"/>
      <c r="E179" s="254"/>
      <c r="F179" s="254"/>
      <c r="G179" s="254"/>
      <c r="H179" s="254"/>
      <c r="I179" s="254"/>
      <c r="J179" s="378"/>
      <c r="K179" s="254"/>
      <c r="L179" s="254"/>
      <c r="M179" s="254"/>
      <c r="N179" s="254"/>
      <c r="P179" s="254"/>
      <c r="Q179" s="254"/>
      <c r="R179" s="254"/>
      <c r="S179" s="254"/>
      <c r="T179" s="254"/>
      <c r="U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</row>
  </sheetData>
  <sheetProtection sheet="1" objects="1" scenarios="1"/>
  <sortState ref="K8:M41">
    <sortCondition ref="L9:L42"/>
  </sortState>
  <pageMargins left="0.25" right="0.25" top="0" bottom="0" header="0" footer="0"/>
  <pageSetup scale="97" orientation="landscape" horizontalDpi="4294967293" verticalDpi="0" r:id="rId1"/>
  <rowBreaks count="2" manualBreakCount="2">
    <brk id="33" max="12" man="1"/>
    <brk id="68" max="12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Sh1(bw) </vt:lpstr>
      <vt:lpstr>Flights Sheet</vt:lpstr>
      <vt:lpstr>Instructions</vt:lpstr>
      <vt:lpstr>'Flights Sheet'!Print_Area</vt:lpstr>
      <vt:lpstr>Instructions!Print_Area</vt:lpstr>
      <vt:lpstr>'Sh1(bw) 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 hitchcock</dc:creator>
  <cp:lastModifiedBy>Len</cp:lastModifiedBy>
  <cp:lastPrinted>2020-01-02T18:15:29Z</cp:lastPrinted>
  <dcterms:created xsi:type="dcterms:W3CDTF">2002-06-15T16:32:37Z</dcterms:created>
  <dcterms:modified xsi:type="dcterms:W3CDTF">2020-01-03T20:56:54Z</dcterms:modified>
</cp:coreProperties>
</file>